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l\OneDrive\Рабочий стол\"/>
    </mc:Choice>
  </mc:AlternateContent>
  <xr:revisionPtr revIDLastSave="0" documentId="13_ncr:1_{42281BF1-BE58-443E-B08A-249D5546C303}" xr6:coauthVersionLast="47" xr6:coauthVersionMax="47" xr10:uidLastSave="{00000000-0000-0000-0000-000000000000}"/>
  <bookViews>
    <workbookView xWindow="-108" yWindow="-108" windowWidth="23256" windowHeight="12456" xr2:uid="{0B77F0EA-02E8-47E6-B493-942F63835CE8}"/>
  </bookViews>
  <sheets>
    <sheet name="Метрики" sheetId="1" r:id="rId1"/>
    <sheet name="API-тесты" sheetId="2" r:id="rId2"/>
    <sheet name="Visual-тест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3" i="1"/>
  <c r="B46" i="1" s="1"/>
  <c r="B82" i="1"/>
  <c r="B5" i="1"/>
  <c r="B6" i="1" s="1"/>
  <c r="B64" i="1"/>
  <c r="B63" i="1"/>
  <c r="B25" i="1"/>
  <c r="B7" i="1" l="1"/>
</calcChain>
</file>

<file path=xl/sharedStrings.xml><?xml version="1.0" encoding="utf-8"?>
<sst xmlns="http://schemas.openxmlformats.org/spreadsheetml/2006/main" count="105" uniqueCount="82">
  <si>
    <t>Описание</t>
  </si>
  <si>
    <t>Метрика</t>
  </si>
  <si>
    <t>Покрытие тестами требований (%)</t>
  </si>
  <si>
    <t>Оценка, какой процент функциональных требований покрыт автотестами</t>
  </si>
  <si>
    <t>Общее кол-во требований</t>
  </si>
  <si>
    <t>Расчет</t>
  </si>
  <si>
    <t>Покрыто тестами</t>
  </si>
  <si>
    <t>Итоговое покрытие</t>
  </si>
  <si>
    <t>Непокрыто тестами</t>
  </si>
  <si>
    <t>Среднее время выполнения тестов (%)</t>
  </si>
  <si>
    <t>Оценка эффективности выполнения автотестов</t>
  </si>
  <si>
    <t>Общее время выполнения всех тестов (s)</t>
  </si>
  <si>
    <t>Количество тестов</t>
  </si>
  <si>
    <t>Среднее время</t>
  </si>
  <si>
    <t>Тест</t>
  </si>
  <si>
    <t>Категория</t>
  </si>
  <si>
    <t>Время (секунды)</t>
  </si>
  <si>
    <t>Возраст 21-68 ("Взрослый котик")</t>
  </si>
  <si>
    <t>Возраст до 21 ("Молодой котик")</t>
  </si>
  <si>
    <t>Возраст &gt;68 ("Старый котик")</t>
  </si>
  <si>
    <t>Кнопка "Назад"</t>
  </si>
  <si>
    <t>Успешный вход</t>
  </si>
  <si>
    <t>Ошибка: несуществующие данные</t>
  </si>
  <si>
    <t>Ошибка: вход без пароля</t>
  </si>
  <si>
    <t>Ошибка: невалидный email (цифры)</t>
  </si>
  <si>
    <t>Кнопка "Назад" (на главную)</t>
  </si>
  <si>
    <t>Кнопка "Регистрация"</t>
  </si>
  <si>
    <t>Проверка существования email</t>
  </si>
  <si>
    <t>Сообщение при невалидном email</t>
  </si>
  <si>
    <t>Редирект на /login</t>
  </si>
  <si>
    <t>Редактирование</t>
  </si>
  <si>
    <t>Изменение имени и сохранение</t>
  </si>
  <si>
    <t>Изменение имени и отмена</t>
  </si>
  <si>
    <t>Пустое имя — ошибка</t>
  </si>
  <si>
    <t>Время (сек)</t>
  </si>
  <si>
    <t>Процент успешно пройденых тестов</t>
  </si>
  <si>
    <t>Общее кол-во тестов</t>
  </si>
  <si>
    <t>Количество успешных тестов</t>
  </si>
  <si>
    <t>Количество неуспешных тестов</t>
  </si>
  <si>
    <t>Успешность</t>
  </si>
  <si>
    <t>Соотношение визуальных и API тестов</t>
  </si>
  <si>
    <t>Подсчет соотношения тестов</t>
  </si>
  <si>
    <t>Всего тестов</t>
  </si>
  <si>
    <t>API</t>
  </si>
  <si>
    <t>Visual</t>
  </si>
  <si>
    <t>Количество API тестов (%)</t>
  </si>
  <si>
    <t>Количество визуальных тестов (%)</t>
  </si>
  <si>
    <t>1) login.testplane.ts:</t>
  </si>
  <si>
    <t>2) profile.testplane.ts:</t>
  </si>
  <si>
    <t>- Проверка отображения счетчиков постов, подписчиков и лайков</t>
  </si>
  <si>
    <t>3) edit-profile.testplane.ts:</t>
  </si>
  <si>
    <t>- Проверка отображения кнопки 'Save Changes'</t>
  </si>
  <si>
    <t xml:space="preserve">- Проверка отображения кнопки 'Cancel' </t>
  </si>
  <si>
    <t>- Проверка ошибки при невалидном входе</t>
  </si>
  <si>
    <t>- Проверка отображения аватара в профиле</t>
  </si>
  <si>
    <t>- Проверка отображения имени пользователя</t>
  </si>
  <si>
    <t>- Проверка отображения статуса пользователя</t>
  </si>
  <si>
    <t>- Проверка отображения кнопки Logout</t>
  </si>
  <si>
    <t>- Проверка отображения поля для имени</t>
  </si>
  <si>
    <t>- Проверка дефолтного состояния страницы входа</t>
  </si>
  <si>
    <t>- Проверка фокуса на полях email и пароль</t>
  </si>
  <si>
    <t>1) Тесты login.spec.ts:</t>
  </si>
  <si>
    <t>- Тест на возврат на главную по кнопке "Назад"</t>
  </si>
  <si>
    <t>- Тест на переход на страницу регистрации по кнопке "Регистрация"</t>
  </si>
  <si>
    <t>2) Тесты mainpage.spec.ts:</t>
  </si>
  <si>
    <t>- Тест на редирект на /login при нажатии на синюю кнопку "В шок"</t>
  </si>
  <si>
    <t>3) Тесты register.spec.ts:</t>
  </si>
  <si>
    <t>- Тест на регистрацию: возраст до 21 ("Ты молоденький котик")</t>
  </si>
  <si>
    <t>- Тест на регистрацию: возраст от 21 до 68 ("Ты взрослый котик")</t>
  </si>
  <si>
    <t>- Тест на регистрацию: возраст больше 68 ("Ты старый котик")</t>
  </si>
  <si>
    <t>- Тест на возврат на страницу логина по кнопке "Назад"</t>
  </si>
  <si>
    <t>4) Тесты editProfile.spec.ts:</t>
  </si>
  <si>
    <t>- Тест на успешный вход с валидными данными</t>
  </si>
  <si>
    <t>- Тест на ошибку при несуществующих данных</t>
  </si>
  <si>
    <t>- Тест на ошибку при входе без пароля</t>
  </si>
  <si>
    <t>- Тест на ошибку при невалидном email (цифры)</t>
  </si>
  <si>
    <t>- Тест на проверку существования email на главной странице</t>
  </si>
  <si>
    <t>- Тест на сообщение при невалидном email</t>
  </si>
  <si>
    <t>- Тест на изменение имени и сохранение</t>
  </si>
  <si>
    <t>- Тест на изменение имени и отмену</t>
  </si>
  <si>
    <t>- Тест на ошибку при пустом имени</t>
  </si>
  <si>
    <t>Успешность API тестов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</si>
</sst>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9"/>
      <color rgb="FFF5F5F5"/>
      <name val="Segoe UI"/>
      <family val="2"/>
      <charset val="204"/>
    </font>
    <font>
      <sz val="9"/>
      <color rgb="FFF8FAFF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1" xfId="0" applyBorder="1"/>
    <xf numFmtId="0" fontId="3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Fill="1"/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7" borderId="0" xfId="0" applyFill="1"/>
    <xf numFmtId="0" fontId="1" fillId="0" borderId="0" xfId="0" applyFont="1"/>
    <xf numFmtId="0" fontId="0" fillId="3" borderId="0" xfId="0" applyFill="1"/>
    <xf numFmtId="0" fontId="0" fillId="8" borderId="0" xfId="0" applyFill="1"/>
    <xf numFmtId="9" fontId="0" fillId="0" borderId="2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0B-40C9-A609-90EBFC9336DA}"/>
              </c:ext>
            </c:extLst>
          </c:dPt>
          <c:dPt>
            <c:idx val="1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B-40C9-A609-90EBFC9336DA}"/>
              </c:ext>
            </c:extLst>
          </c:dPt>
          <c:cat>
            <c:strRef>
              <c:f>Метрики!$A$5:$A$6</c:f>
              <c:strCache>
                <c:ptCount val="2"/>
                <c:pt idx="0">
                  <c:v>Покрыто тестами</c:v>
                </c:pt>
                <c:pt idx="1">
                  <c:v>Непокрыто тестами</c:v>
                </c:pt>
              </c:strCache>
            </c:strRef>
          </c:cat>
          <c:val>
            <c:numRef>
              <c:f>Метрики!$B$5:$B$6</c:f>
              <c:numCache>
                <c:formatCode>General</c:formatCode>
                <c:ptCount val="2"/>
                <c:pt idx="0">
                  <c:v>16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B-40C9-A609-90EBFC933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Метрики!$I$27</c:f>
              <c:strCache>
                <c:ptCount val="1"/>
                <c:pt idx="0">
                  <c:v>Время (секунды)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2D-445C-ABDB-B50E2D30C55E}"/>
              </c:ext>
            </c:extLst>
          </c:dPt>
          <c:dPt>
            <c:idx val="13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2D-445C-ABDB-B50E2D30C55E}"/>
              </c:ext>
            </c:extLst>
          </c:dPt>
          <c:dPt>
            <c:idx val="14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2D-445C-ABDB-B50E2D30C55E}"/>
              </c:ext>
            </c:extLst>
          </c:dPt>
          <c:cat>
            <c:strRef>
              <c:f>Метрики!$H$28:$H$43</c:f>
              <c:strCache>
                <c:ptCount val="16"/>
                <c:pt idx="0">
                  <c:v>Возраст 21-68 ("Взрослый котик")</c:v>
                </c:pt>
                <c:pt idx="1">
                  <c:v>Возраст до 21 ("Молодой котик")</c:v>
                </c:pt>
                <c:pt idx="2">
                  <c:v>Возраст &gt;68 ("Старый котик")</c:v>
                </c:pt>
                <c:pt idx="3">
                  <c:v>Кнопка "Назад"</c:v>
                </c:pt>
                <c:pt idx="4">
                  <c:v>Успешный вход</c:v>
                </c:pt>
                <c:pt idx="5">
                  <c:v>Ошибка: несуществующие данные</c:v>
                </c:pt>
                <c:pt idx="6">
                  <c:v>Ошибка: вход без пароля</c:v>
                </c:pt>
                <c:pt idx="7">
                  <c:v>Ошибка: невалидный email (цифры)</c:v>
                </c:pt>
                <c:pt idx="8">
                  <c:v>Кнопка "Назад" (на главную)</c:v>
                </c:pt>
                <c:pt idx="9">
                  <c:v>Кнопка "Регистрация"</c:v>
                </c:pt>
                <c:pt idx="10">
                  <c:v>Проверка существования email</c:v>
                </c:pt>
                <c:pt idx="11">
                  <c:v>Сообщение при невалидном email</c:v>
                </c:pt>
                <c:pt idx="12">
                  <c:v>Редирект на /login</c:v>
                </c:pt>
                <c:pt idx="13">
                  <c:v>Изменение имени и сохранение</c:v>
                </c:pt>
                <c:pt idx="14">
                  <c:v>Изменение имени и отмена</c:v>
                </c:pt>
                <c:pt idx="15">
                  <c:v>Пустое имя — ошибка</c:v>
                </c:pt>
              </c:strCache>
            </c:strRef>
          </c:cat>
          <c:val>
            <c:numRef>
              <c:f>Метрики!$I$28:$I$43</c:f>
              <c:numCache>
                <c:formatCode>General</c:formatCode>
                <c:ptCount val="16"/>
                <c:pt idx="0">
                  <c:v>6.5339999999999998</c:v>
                </c:pt>
                <c:pt idx="1">
                  <c:v>1.274</c:v>
                </c:pt>
                <c:pt idx="2">
                  <c:v>1.7250000000000001</c:v>
                </c:pt>
                <c:pt idx="3">
                  <c:v>0.98699999999999999</c:v>
                </c:pt>
                <c:pt idx="4">
                  <c:v>1.526</c:v>
                </c:pt>
                <c:pt idx="5">
                  <c:v>1.25</c:v>
                </c:pt>
                <c:pt idx="6">
                  <c:v>1.151</c:v>
                </c:pt>
                <c:pt idx="7">
                  <c:v>1.276</c:v>
                </c:pt>
                <c:pt idx="8">
                  <c:v>1.117</c:v>
                </c:pt>
                <c:pt idx="9">
                  <c:v>1.1739999999999999</c:v>
                </c:pt>
                <c:pt idx="10">
                  <c:v>1.4279999999999999</c:v>
                </c:pt>
                <c:pt idx="11">
                  <c:v>1.1479999999999999</c:v>
                </c:pt>
                <c:pt idx="12">
                  <c:v>0.98299999999999998</c:v>
                </c:pt>
                <c:pt idx="13">
                  <c:v>12.115</c:v>
                </c:pt>
                <c:pt idx="14">
                  <c:v>9.8010000000000002</c:v>
                </c:pt>
                <c:pt idx="15">
                  <c:v>4.391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C-ABDB-B50E2D30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968223"/>
        <c:axId val="757967263"/>
      </c:barChart>
      <c:catAx>
        <c:axId val="7579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967263"/>
        <c:crosses val="autoZero"/>
        <c:auto val="1"/>
        <c:lblAlgn val="ctr"/>
        <c:lblOffset val="100"/>
        <c:noMultiLvlLbl val="0"/>
      </c:catAx>
      <c:valAx>
        <c:axId val="7579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96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FB-46BB-A44E-8107C842082B}"/>
              </c:ext>
            </c:extLst>
          </c:dPt>
          <c:dPt>
            <c:idx val="1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FB-46BB-A44E-8107C842082B}"/>
              </c:ext>
            </c:extLst>
          </c:dPt>
          <c:cat>
            <c:strRef>
              <c:f>Метрики!$A$44:$A$45</c:f>
              <c:strCache>
                <c:ptCount val="2"/>
                <c:pt idx="0">
                  <c:v>Количество успешных тестов</c:v>
                </c:pt>
                <c:pt idx="1">
                  <c:v>Количество неуспешных тестов</c:v>
                </c:pt>
              </c:strCache>
            </c:strRef>
          </c:cat>
          <c:val>
            <c:numRef>
              <c:f>Метрики!$B$44:$B$45</c:f>
              <c:numCache>
                <c:formatCode>General</c:formatCode>
                <c:ptCount val="2"/>
                <c:pt idx="0">
                  <c:v>15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B-46BB-A44E-8107C842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99-4711-AF77-6D7816D84F64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C-4F02-8288-F268ACA835A4}"/>
              </c:ext>
            </c:extLst>
          </c:dPt>
          <c:cat>
            <c:strRef>
              <c:f>Метрики!$G$62:$G$63</c:f>
              <c:strCache>
                <c:ptCount val="2"/>
                <c:pt idx="0">
                  <c:v>API</c:v>
                </c:pt>
                <c:pt idx="1">
                  <c:v>Visual</c:v>
                </c:pt>
              </c:strCache>
            </c:strRef>
          </c:cat>
          <c:val>
            <c:numRef>
              <c:f>Метрики!$H$62:$H$63</c:f>
              <c:numCache>
                <c:formatCode>General</c:formatCode>
                <c:ptCount val="2"/>
                <c:pt idx="0">
                  <c:v>16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C-4F02-8288-F268ACA8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16-4AC0-A4A8-1FA2017D6687}"/>
              </c:ext>
            </c:extLst>
          </c:dPt>
          <c:cat>
            <c:strRef>
              <c:f>Метрики!$A$83:$A$84</c:f>
              <c:strCache>
                <c:ptCount val="2"/>
                <c:pt idx="0">
                  <c:v>Количество успешных тестов</c:v>
                </c:pt>
                <c:pt idx="1">
                  <c:v>Количество неуспешных тестов</c:v>
                </c:pt>
              </c:strCache>
            </c:strRef>
          </c:cat>
          <c:val>
            <c:numRef>
              <c:f>Метрики!$B$83:$B$84</c:f>
              <c:numCache>
                <c:formatCode>General</c:formatCode>
                <c:ptCount val="2"/>
                <c:pt idx="0">
                  <c:v>22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6-4AC0-A4A8-1FA2017D6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7620</xdr:rowOff>
    </xdr:from>
    <xdr:to>
      <xdr:col>1</xdr:col>
      <xdr:colOff>4328161</xdr:colOff>
      <xdr:row>15</xdr:row>
      <xdr:rowOff>173420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F80BFEF-C866-9C81-F57A-B4FB5F1F7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1920</xdr:rowOff>
    </xdr:from>
    <xdr:to>
      <xdr:col>1</xdr:col>
      <xdr:colOff>4328160</xdr:colOff>
      <xdr:row>35</xdr:row>
      <xdr:rowOff>163286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2B8FD7E5-FEF4-FF9F-BEF8-90B0F9E96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</xdr:col>
      <xdr:colOff>4332514</xdr:colOff>
      <xdr:row>55</xdr:row>
      <xdr:rowOff>174171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308BFA5-1A25-1660-D72B-10278EB64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21772</xdr:colOff>
      <xdr:row>65</xdr:row>
      <xdr:rowOff>10886</xdr:rowOff>
    </xdr:from>
    <xdr:to>
      <xdr:col>1</xdr:col>
      <xdr:colOff>4343400</xdr:colOff>
      <xdr:row>74</xdr:row>
      <xdr:rowOff>163285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760B59AF-D209-4A72-BEE1-6CACA8B28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85</xdr:row>
      <xdr:rowOff>26893</xdr:rowOff>
    </xdr:from>
    <xdr:to>
      <xdr:col>1</xdr:col>
      <xdr:colOff>4320989</xdr:colOff>
      <xdr:row>94</xdr:row>
      <xdr:rowOff>170329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C09727-BF51-93C6-FE95-5CD1A101D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8E59F3-F730-435D-9BE0-65B1323953E7}">
  <we:reference id="wa200005271" version="2.5.5.0" store="ru-RU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429-D7C0-43A6-9185-70512A5C994A}">
  <dimension ref="A1:P95"/>
  <sheetViews>
    <sheetView tabSelected="1" zoomScale="70" zoomScaleNormal="70" workbookViewId="0">
      <selection activeCell="I45" sqref="I45"/>
    </sheetView>
  </sheetViews>
  <sheetFormatPr defaultRowHeight="14.4" x14ac:dyDescent="0.3"/>
  <cols>
    <col min="1" max="1" width="24.6640625" customWidth="1"/>
    <col min="2" max="2" width="63.44140625" bestFit="1" customWidth="1"/>
    <col min="7" max="9" width="9.109375" customWidth="1"/>
    <col min="14" max="14" width="9.5546875" customWidth="1"/>
    <col min="15" max="15" width="9.21875" customWidth="1"/>
  </cols>
  <sheetData>
    <row r="1" spans="1:2" x14ac:dyDescent="0.3">
      <c r="A1" s="2" t="s">
        <v>1</v>
      </c>
      <c r="B1" s="3" t="s">
        <v>2</v>
      </c>
    </row>
    <row r="2" spans="1:2" x14ac:dyDescent="0.3">
      <c r="A2" s="4" t="s">
        <v>0</v>
      </c>
      <c r="B2" s="1" t="s">
        <v>3</v>
      </c>
    </row>
    <row r="3" spans="1:2" x14ac:dyDescent="0.3">
      <c r="A3" s="26" t="s">
        <v>5</v>
      </c>
      <c r="B3" s="27"/>
    </row>
    <row r="4" spans="1:2" x14ac:dyDescent="0.3">
      <c r="A4" s="4" t="s">
        <v>4</v>
      </c>
      <c r="B4" s="1">
        <v>20</v>
      </c>
    </row>
    <row r="5" spans="1:2" x14ac:dyDescent="0.3">
      <c r="A5" s="5" t="s">
        <v>6</v>
      </c>
      <c r="B5" s="6">
        <f>SUM('API-тесты'!B1:B23)</f>
        <v>16</v>
      </c>
    </row>
    <row r="6" spans="1:2" x14ac:dyDescent="0.3">
      <c r="A6" s="7" t="s">
        <v>8</v>
      </c>
      <c r="B6" s="8">
        <f>B4-B5</f>
        <v>4</v>
      </c>
    </row>
    <row r="7" spans="1:2" x14ac:dyDescent="0.3">
      <c r="A7" s="4" t="s">
        <v>7</v>
      </c>
      <c r="B7" s="1" t="str">
        <f>B5/B4*100 &amp; "%"</f>
        <v>80%</v>
      </c>
    </row>
    <row r="8" spans="1:2" x14ac:dyDescent="0.3">
      <c r="A8" s="9"/>
      <c r="B8" s="10"/>
    </row>
    <row r="9" spans="1:2" x14ac:dyDescent="0.3">
      <c r="A9" s="9"/>
      <c r="B9" s="10"/>
    </row>
    <row r="10" spans="1:2" x14ac:dyDescent="0.3">
      <c r="A10" s="9"/>
      <c r="B10" s="10"/>
    </row>
    <row r="11" spans="1:2" x14ac:dyDescent="0.3">
      <c r="A11" s="9"/>
      <c r="B11" s="10"/>
    </row>
    <row r="12" spans="1:2" x14ac:dyDescent="0.3">
      <c r="A12" s="9"/>
      <c r="B12" s="10"/>
    </row>
    <row r="13" spans="1:2" x14ac:dyDescent="0.3">
      <c r="A13" s="9"/>
      <c r="B13" s="10"/>
    </row>
    <row r="14" spans="1:2" x14ac:dyDescent="0.3">
      <c r="A14" s="9"/>
      <c r="B14" s="10"/>
    </row>
    <row r="15" spans="1:2" x14ac:dyDescent="0.3">
      <c r="A15" s="9"/>
      <c r="B15" s="10"/>
    </row>
    <row r="16" spans="1:2" x14ac:dyDescent="0.3">
      <c r="A16" s="11"/>
      <c r="B16" s="12"/>
    </row>
    <row r="20" spans="1:16" x14ac:dyDescent="0.3">
      <c r="A20" s="2" t="s">
        <v>1</v>
      </c>
      <c r="B20" s="3" t="s">
        <v>9</v>
      </c>
    </row>
    <row r="21" spans="1:16" x14ac:dyDescent="0.3">
      <c r="A21" s="4" t="s">
        <v>0</v>
      </c>
      <c r="B21" s="1" t="s">
        <v>10</v>
      </c>
    </row>
    <row r="22" spans="1:16" x14ac:dyDescent="0.3">
      <c r="A22" s="26" t="s">
        <v>5</v>
      </c>
      <c r="B22" s="27"/>
    </row>
    <row r="23" spans="1:16" ht="28.8" x14ac:dyDescent="0.3">
      <c r="A23" s="15" t="s">
        <v>11</v>
      </c>
      <c r="B23" s="1">
        <v>47.88</v>
      </c>
      <c r="N23" s="13"/>
      <c r="O23" s="13"/>
      <c r="P23" s="13"/>
    </row>
    <row r="24" spans="1:16" x14ac:dyDescent="0.3">
      <c r="A24" s="16" t="s">
        <v>12</v>
      </c>
      <c r="B24" s="17">
        <v>16</v>
      </c>
      <c r="N24" s="13"/>
      <c r="O24" s="13"/>
      <c r="P24" s="13"/>
    </row>
    <row r="25" spans="1:16" x14ac:dyDescent="0.3">
      <c r="A25" s="18" t="s">
        <v>13</v>
      </c>
      <c r="B25" s="19">
        <f>ROUND(B23/B24,2)</f>
        <v>2.99</v>
      </c>
      <c r="N25" s="13"/>
      <c r="O25" s="13"/>
      <c r="P25" s="13"/>
    </row>
    <row r="26" spans="1:16" x14ac:dyDescent="0.3">
      <c r="A26" s="9"/>
      <c r="B26" s="10"/>
      <c r="N26" s="13"/>
      <c r="O26" s="13"/>
      <c r="P26" s="13"/>
    </row>
    <row r="27" spans="1:16" ht="14.4" customHeight="1" x14ac:dyDescent="0.3">
      <c r="A27" s="9"/>
      <c r="B27" s="10"/>
      <c r="G27" s="13"/>
      <c r="H27" s="13" t="s">
        <v>14</v>
      </c>
      <c r="I27" s="13" t="s">
        <v>16</v>
      </c>
      <c r="N27" s="13"/>
      <c r="O27" s="13"/>
      <c r="P27" s="13"/>
    </row>
    <row r="28" spans="1:16" ht="14.4" customHeight="1" x14ac:dyDescent="0.3">
      <c r="A28" s="9"/>
      <c r="B28" s="10"/>
      <c r="G28" s="14"/>
      <c r="H28" s="14" t="s">
        <v>17</v>
      </c>
      <c r="I28" s="14">
        <v>6.5339999999999998</v>
      </c>
      <c r="N28" s="13"/>
      <c r="O28" s="13"/>
      <c r="P28" s="13"/>
    </row>
    <row r="29" spans="1:16" ht="14.4" customHeight="1" x14ac:dyDescent="0.3">
      <c r="A29" s="9"/>
      <c r="B29" s="10"/>
      <c r="G29" s="14"/>
      <c r="H29" s="14" t="s">
        <v>18</v>
      </c>
      <c r="I29" s="14">
        <v>1.274</v>
      </c>
      <c r="N29" s="13"/>
      <c r="O29" s="13"/>
      <c r="P29" s="13"/>
    </row>
    <row r="30" spans="1:16" ht="14.4" customHeight="1" x14ac:dyDescent="0.3">
      <c r="A30" s="9"/>
      <c r="B30" s="10"/>
      <c r="G30" s="14"/>
      <c r="H30" s="14" t="s">
        <v>19</v>
      </c>
      <c r="I30" s="14">
        <v>1.7250000000000001</v>
      </c>
      <c r="N30" s="13"/>
      <c r="O30" s="13"/>
      <c r="P30" s="13"/>
    </row>
    <row r="31" spans="1:16" ht="14.4" customHeight="1" x14ac:dyDescent="0.3">
      <c r="A31" s="9"/>
      <c r="B31" s="10"/>
      <c r="G31" s="14"/>
      <c r="H31" s="14" t="s">
        <v>20</v>
      </c>
      <c r="I31" s="14">
        <v>0.98699999999999999</v>
      </c>
      <c r="N31" s="13"/>
      <c r="O31" s="13"/>
      <c r="P31" s="13"/>
    </row>
    <row r="32" spans="1:16" ht="14.4" customHeight="1" x14ac:dyDescent="0.3">
      <c r="A32" s="9"/>
      <c r="B32" s="10"/>
      <c r="G32" s="14"/>
      <c r="H32" s="14" t="s">
        <v>21</v>
      </c>
      <c r="I32" s="14">
        <v>1.526</v>
      </c>
      <c r="K32" s="13" t="s">
        <v>15</v>
      </c>
      <c r="L32" s="13" t="s">
        <v>14</v>
      </c>
      <c r="M32" s="13" t="s">
        <v>34</v>
      </c>
      <c r="N32" s="13"/>
      <c r="O32" s="13"/>
      <c r="P32" s="13"/>
    </row>
    <row r="33" spans="1:16" ht="14.4" customHeight="1" x14ac:dyDescent="0.3">
      <c r="A33" s="9"/>
      <c r="B33" s="10"/>
      <c r="G33" s="14"/>
      <c r="H33" s="14" t="s">
        <v>22</v>
      </c>
      <c r="I33" s="14">
        <v>1.25</v>
      </c>
      <c r="K33" s="14" t="s">
        <v>30</v>
      </c>
      <c r="L33" s="14" t="s">
        <v>33</v>
      </c>
      <c r="M33" s="14">
        <v>4.391</v>
      </c>
      <c r="N33" s="13"/>
      <c r="O33" s="13"/>
      <c r="P33" s="13"/>
    </row>
    <row r="34" spans="1:16" ht="14.4" customHeight="1" x14ac:dyDescent="0.3">
      <c r="A34" s="9"/>
      <c r="B34" s="10"/>
      <c r="G34" s="14"/>
      <c r="H34" s="14" t="s">
        <v>23</v>
      </c>
      <c r="I34" s="14">
        <v>1.151</v>
      </c>
      <c r="K34" s="14" t="s">
        <v>30</v>
      </c>
      <c r="L34" s="14" t="s">
        <v>31</v>
      </c>
      <c r="M34" s="14">
        <v>12.115</v>
      </c>
      <c r="N34" s="13"/>
      <c r="O34" s="13"/>
      <c r="P34" s="13"/>
    </row>
    <row r="35" spans="1:16" ht="14.4" customHeight="1" x14ac:dyDescent="0.3">
      <c r="A35" s="9"/>
      <c r="B35" s="10"/>
      <c r="G35" s="14"/>
      <c r="H35" s="14" t="s">
        <v>24</v>
      </c>
      <c r="I35" s="14">
        <v>1.276</v>
      </c>
      <c r="J35" s="13"/>
      <c r="K35" s="13"/>
      <c r="L35" s="14" t="s">
        <v>32</v>
      </c>
      <c r="M35" s="14">
        <v>9.8010000000000002</v>
      </c>
      <c r="N35" s="13"/>
      <c r="O35" s="13"/>
      <c r="P35" s="13"/>
    </row>
    <row r="36" spans="1:16" ht="14.4" customHeight="1" x14ac:dyDescent="0.3">
      <c r="A36" s="11"/>
      <c r="B36" s="12"/>
      <c r="G36" s="14"/>
      <c r="H36" s="14" t="s">
        <v>25</v>
      </c>
      <c r="I36" s="14">
        <v>1.117</v>
      </c>
      <c r="J36" s="14"/>
      <c r="K36" s="14"/>
      <c r="L36" s="14"/>
      <c r="M36" s="14"/>
      <c r="N36" s="13"/>
      <c r="O36" s="13"/>
      <c r="P36" s="13"/>
    </row>
    <row r="37" spans="1:16" ht="14.4" customHeight="1" x14ac:dyDescent="0.3">
      <c r="G37" s="14"/>
      <c r="H37" s="14" t="s">
        <v>26</v>
      </c>
      <c r="I37" s="14">
        <v>1.1739999999999999</v>
      </c>
      <c r="J37" s="14"/>
      <c r="K37" s="14"/>
      <c r="L37" s="14"/>
      <c r="M37" s="14"/>
      <c r="N37" s="13"/>
      <c r="O37" s="13"/>
      <c r="P37" s="13"/>
    </row>
    <row r="38" spans="1:16" ht="14.4" customHeight="1" x14ac:dyDescent="0.3">
      <c r="G38" s="14"/>
      <c r="H38" s="14" t="s">
        <v>27</v>
      </c>
      <c r="I38" s="14">
        <v>1.4279999999999999</v>
      </c>
      <c r="J38" s="14"/>
      <c r="K38" s="14"/>
      <c r="L38" s="14"/>
      <c r="M38" s="14"/>
      <c r="N38" s="13"/>
      <c r="O38" s="13"/>
      <c r="P38" s="13"/>
    </row>
    <row r="39" spans="1:16" ht="14.4" customHeight="1" x14ac:dyDescent="0.3">
      <c r="G39" s="14"/>
      <c r="H39" s="14" t="s">
        <v>28</v>
      </c>
      <c r="I39" s="14">
        <v>1.1479999999999999</v>
      </c>
      <c r="K39" s="14"/>
      <c r="L39" s="14"/>
      <c r="M39" s="14"/>
      <c r="N39" s="13"/>
      <c r="O39" s="13"/>
      <c r="P39" s="13"/>
    </row>
    <row r="40" spans="1:16" ht="14.4" customHeight="1" x14ac:dyDescent="0.3">
      <c r="A40" s="2" t="s">
        <v>1</v>
      </c>
      <c r="B40" s="3" t="s">
        <v>81</v>
      </c>
      <c r="G40" s="14"/>
      <c r="H40" s="14" t="s">
        <v>29</v>
      </c>
      <c r="I40" s="14">
        <v>0.98299999999999998</v>
      </c>
      <c r="K40" s="14"/>
      <c r="L40" s="14"/>
      <c r="M40" s="14"/>
      <c r="N40" s="13"/>
      <c r="O40" s="13"/>
      <c r="P40" s="13"/>
    </row>
    <row r="41" spans="1:16" ht="14.4" customHeight="1" x14ac:dyDescent="0.3">
      <c r="A41" s="4" t="s">
        <v>0</v>
      </c>
      <c r="B41" s="1" t="s">
        <v>35</v>
      </c>
      <c r="G41" s="14"/>
      <c r="H41" s="14" t="s">
        <v>31</v>
      </c>
      <c r="I41" s="14">
        <v>12.115</v>
      </c>
      <c r="K41" s="14"/>
      <c r="L41" s="14"/>
      <c r="M41" s="14"/>
      <c r="N41" s="13"/>
      <c r="O41" s="13"/>
      <c r="P41" s="13"/>
    </row>
    <row r="42" spans="1:16" ht="14.4" customHeight="1" x14ac:dyDescent="0.3">
      <c r="A42" s="26" t="s">
        <v>5</v>
      </c>
      <c r="B42" s="27"/>
      <c r="G42" s="14"/>
      <c r="H42" s="14" t="s">
        <v>32</v>
      </c>
      <c r="I42" s="14">
        <v>9.8010000000000002</v>
      </c>
      <c r="K42" s="14"/>
      <c r="L42" s="14"/>
      <c r="M42" s="14"/>
      <c r="N42" s="13"/>
      <c r="O42" s="13"/>
      <c r="P42" s="13"/>
    </row>
    <row r="43" spans="1:16" ht="14.4" customHeight="1" x14ac:dyDescent="0.3">
      <c r="A43" s="4" t="s">
        <v>36</v>
      </c>
      <c r="B43" s="1">
        <f>SUM('API-тесты'!B2:B23)</f>
        <v>16</v>
      </c>
      <c r="G43" s="14"/>
      <c r="H43" s="14" t="s">
        <v>33</v>
      </c>
      <c r="I43" s="14">
        <v>4.391</v>
      </c>
      <c r="K43" s="14"/>
      <c r="L43" s="14"/>
      <c r="M43" s="14"/>
      <c r="N43" s="13"/>
      <c r="O43" s="13"/>
      <c r="P43" s="13"/>
    </row>
    <row r="44" spans="1:16" ht="28.8" x14ac:dyDescent="0.3">
      <c r="A44" s="22" t="s">
        <v>37</v>
      </c>
      <c r="B44" s="23">
        <v>15</v>
      </c>
      <c r="K44" s="14"/>
      <c r="L44" s="14"/>
      <c r="M44" s="14"/>
    </row>
    <row r="45" spans="1:16" ht="28.8" x14ac:dyDescent="0.3">
      <c r="A45" s="21" t="s">
        <v>38</v>
      </c>
      <c r="B45" s="8">
        <f>B43-B44</f>
        <v>1</v>
      </c>
      <c r="K45" s="14"/>
      <c r="L45" s="14"/>
      <c r="M45" s="14"/>
    </row>
    <row r="46" spans="1:16" x14ac:dyDescent="0.3">
      <c r="A46" s="4" t="s">
        <v>39</v>
      </c>
      <c r="B46" s="1" t="str">
        <f>B44/B43 &amp; "%"</f>
        <v>0,9375%</v>
      </c>
      <c r="K46" s="14"/>
      <c r="L46" s="14"/>
      <c r="M46" s="14"/>
    </row>
    <row r="47" spans="1:16" x14ac:dyDescent="0.3">
      <c r="A47" s="9"/>
      <c r="B47" s="10"/>
      <c r="K47" s="14"/>
      <c r="L47" s="14"/>
      <c r="M47" s="14"/>
    </row>
    <row r="48" spans="1:16" x14ac:dyDescent="0.3">
      <c r="A48" s="9"/>
      <c r="B48" s="10"/>
      <c r="K48" s="14"/>
      <c r="L48" s="14"/>
      <c r="M48" s="14"/>
    </row>
    <row r="49" spans="1:8" x14ac:dyDescent="0.3">
      <c r="A49" s="9"/>
      <c r="B49" s="10"/>
    </row>
    <row r="50" spans="1:8" x14ac:dyDescent="0.3">
      <c r="A50" s="9"/>
      <c r="B50" s="10"/>
    </row>
    <row r="51" spans="1:8" x14ac:dyDescent="0.3">
      <c r="A51" s="9"/>
      <c r="B51" s="10"/>
    </row>
    <row r="52" spans="1:8" x14ac:dyDescent="0.3">
      <c r="A52" s="9"/>
      <c r="B52" s="10"/>
    </row>
    <row r="53" spans="1:8" x14ac:dyDescent="0.3">
      <c r="A53" s="9"/>
      <c r="B53" s="10"/>
    </row>
    <row r="54" spans="1:8" x14ac:dyDescent="0.3">
      <c r="A54" s="9"/>
      <c r="B54" s="10"/>
    </row>
    <row r="55" spans="1:8" x14ac:dyDescent="0.3">
      <c r="A55" s="9"/>
      <c r="B55" s="10"/>
    </row>
    <row r="56" spans="1:8" x14ac:dyDescent="0.3">
      <c r="A56" s="11"/>
      <c r="B56" s="12"/>
    </row>
    <row r="60" spans="1:8" x14ac:dyDescent="0.3">
      <c r="A60" s="2" t="s">
        <v>1</v>
      </c>
      <c r="B60" s="3" t="s">
        <v>40</v>
      </c>
    </row>
    <row r="61" spans="1:8" x14ac:dyDescent="0.3">
      <c r="A61" s="4" t="s">
        <v>0</v>
      </c>
      <c r="B61" s="1" t="s">
        <v>41</v>
      </c>
    </row>
    <row r="62" spans="1:8" x14ac:dyDescent="0.3">
      <c r="A62" s="26" t="s">
        <v>5</v>
      </c>
      <c r="B62" s="27"/>
      <c r="G62" s="25" t="s">
        <v>43</v>
      </c>
      <c r="H62" s="25">
        <v>16</v>
      </c>
    </row>
    <row r="63" spans="1:8" x14ac:dyDescent="0.3">
      <c r="A63" s="15" t="s">
        <v>45</v>
      </c>
      <c r="B63" s="24" t="str">
        <f>"~" &amp; ROUND(16/38*100,2) &amp; "%"</f>
        <v>~42,11%</v>
      </c>
      <c r="G63" s="25" t="s">
        <v>44</v>
      </c>
      <c r="H63" s="25">
        <v>22</v>
      </c>
    </row>
    <row r="64" spans="1:8" ht="28.8" x14ac:dyDescent="0.3">
      <c r="A64" s="20" t="s">
        <v>46</v>
      </c>
      <c r="B64" s="17" t="str">
        <f>"~" &amp; ROUND(22/38*100,2) &amp; "%"</f>
        <v>~57,89%</v>
      </c>
    </row>
    <row r="65" spans="1:2" x14ac:dyDescent="0.3">
      <c r="A65" s="18" t="s">
        <v>42</v>
      </c>
      <c r="B65" s="19">
        <v>38</v>
      </c>
    </row>
    <row r="66" spans="1:2" x14ac:dyDescent="0.3">
      <c r="A66" s="9"/>
      <c r="B66" s="10"/>
    </row>
    <row r="67" spans="1:2" x14ac:dyDescent="0.3">
      <c r="A67" s="9"/>
      <c r="B67" s="10"/>
    </row>
    <row r="68" spans="1:2" x14ac:dyDescent="0.3">
      <c r="A68" s="9"/>
      <c r="B68" s="10"/>
    </row>
    <row r="69" spans="1:2" x14ac:dyDescent="0.3">
      <c r="A69" s="9"/>
      <c r="B69" s="10"/>
    </row>
    <row r="70" spans="1:2" x14ac:dyDescent="0.3">
      <c r="A70" s="9"/>
      <c r="B70" s="10"/>
    </row>
    <row r="71" spans="1:2" x14ac:dyDescent="0.3">
      <c r="A71" s="9"/>
      <c r="B71" s="10"/>
    </row>
    <row r="72" spans="1:2" x14ac:dyDescent="0.3">
      <c r="A72" s="9"/>
      <c r="B72" s="10"/>
    </row>
    <row r="73" spans="1:2" x14ac:dyDescent="0.3">
      <c r="A73" s="9"/>
      <c r="B73" s="10"/>
    </row>
    <row r="74" spans="1:2" x14ac:dyDescent="0.3">
      <c r="A74" s="9"/>
      <c r="B74" s="10"/>
    </row>
    <row r="75" spans="1:2" x14ac:dyDescent="0.3">
      <c r="A75" s="11"/>
      <c r="B75" s="12"/>
    </row>
    <row r="79" spans="1:2" x14ac:dyDescent="0.3">
      <c r="A79" s="2" t="s">
        <v>1</v>
      </c>
      <c r="B79" s="3" t="s">
        <v>81</v>
      </c>
    </row>
    <row r="80" spans="1:2" x14ac:dyDescent="0.3">
      <c r="A80" s="4" t="s">
        <v>0</v>
      </c>
      <c r="B80" s="1" t="s">
        <v>35</v>
      </c>
    </row>
    <row r="81" spans="1:2" x14ac:dyDescent="0.3">
      <c r="A81" s="26" t="s">
        <v>5</v>
      </c>
      <c r="B81" s="27"/>
    </row>
    <row r="82" spans="1:2" x14ac:dyDescent="0.3">
      <c r="A82" s="4" t="s">
        <v>36</v>
      </c>
      <c r="B82" s="1">
        <f>SUM('Visual-тесты'!B1:B16)</f>
        <v>22</v>
      </c>
    </row>
    <row r="83" spans="1:2" ht="28.8" x14ac:dyDescent="0.3">
      <c r="A83" s="22" t="s">
        <v>37</v>
      </c>
      <c r="B83" s="23">
        <v>22</v>
      </c>
    </row>
    <row r="84" spans="1:2" ht="28.8" x14ac:dyDescent="0.3">
      <c r="A84" s="21" t="s">
        <v>38</v>
      </c>
      <c r="B84" s="8">
        <v>0</v>
      </c>
    </row>
    <row r="85" spans="1:2" x14ac:dyDescent="0.3">
      <c r="A85" s="4" t="s">
        <v>39</v>
      </c>
      <c r="B85" s="32">
        <v>0</v>
      </c>
    </row>
    <row r="86" spans="1:2" x14ac:dyDescent="0.3">
      <c r="A86" s="9"/>
      <c r="B86" s="10"/>
    </row>
    <row r="87" spans="1:2" x14ac:dyDescent="0.3">
      <c r="A87" s="9"/>
      <c r="B87" s="10"/>
    </row>
    <row r="88" spans="1:2" x14ac:dyDescent="0.3">
      <c r="A88" s="9"/>
      <c r="B88" s="10"/>
    </row>
    <row r="89" spans="1:2" x14ac:dyDescent="0.3">
      <c r="A89" s="9"/>
      <c r="B89" s="10"/>
    </row>
    <row r="90" spans="1:2" x14ac:dyDescent="0.3">
      <c r="A90" s="9"/>
      <c r="B90" s="10"/>
    </row>
    <row r="91" spans="1:2" x14ac:dyDescent="0.3">
      <c r="A91" s="9"/>
      <c r="B91" s="10"/>
    </row>
    <row r="92" spans="1:2" x14ac:dyDescent="0.3">
      <c r="A92" s="9"/>
      <c r="B92" s="10"/>
    </row>
    <row r="93" spans="1:2" x14ac:dyDescent="0.3">
      <c r="A93" s="9"/>
      <c r="B93" s="10"/>
    </row>
    <row r="94" spans="1:2" x14ac:dyDescent="0.3">
      <c r="A94" s="9"/>
      <c r="B94" s="10"/>
    </row>
    <row r="95" spans="1:2" x14ac:dyDescent="0.3">
      <c r="A95" s="11"/>
      <c r="B95" s="12"/>
    </row>
  </sheetData>
  <mergeCells count="5">
    <mergeCell ref="A81:B81"/>
    <mergeCell ref="A3:B3"/>
    <mergeCell ref="A22:B22"/>
    <mergeCell ref="A42:B42"/>
    <mergeCell ref="A62:B6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584C340-F125-4A95-944E-BEED168FC97A}">
          <x14:colorSeries theme="1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Метрики!O25:O25</xm:f>
              <xm:sqref>M25</xm:sqref>
            </x14:sparkline>
            <x14:sparkline>
              <xm:f>Метрики!O26:O26</xm:f>
              <xm:sqref>M26</xm:sqref>
            </x14:sparkline>
            <x14:sparkline>
              <xm:f>Метрики!O27:O27</xm:f>
              <xm:sqref>M27</xm:sqref>
            </x14:sparkline>
            <x14:sparkline>
              <xm:f>Метрики!O28:O28</xm:f>
              <xm:sqref>M28</xm:sqref>
            </x14:sparkline>
            <x14:sparkline>
              <xm:f>Метрики!O29:O29</xm:f>
              <xm:sqref>M29</xm:sqref>
            </x14:sparkline>
            <x14:sparkline>
              <xm:f>Метрики!O30:O30</xm:f>
              <xm:sqref>M30</xm:sqref>
            </x14:sparkline>
            <x14:sparkline>
              <xm:f>Метрики!O31:O31</xm:f>
              <xm:sqref>M31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1EA7-ECE5-40D2-A6AB-6C85AEEB6E5C}">
  <dimension ref="A1:B23"/>
  <sheetViews>
    <sheetView workbookViewId="0">
      <selection activeCell="B2" sqref="B2"/>
    </sheetView>
  </sheetViews>
  <sheetFormatPr defaultRowHeight="14.4" x14ac:dyDescent="0.3"/>
  <cols>
    <col min="1" max="1" width="59" bestFit="1" customWidth="1"/>
  </cols>
  <sheetData>
    <row r="1" spans="1:2" x14ac:dyDescent="0.3">
      <c r="A1" s="28" t="s">
        <v>61</v>
      </c>
      <c r="B1" s="29"/>
    </row>
    <row r="2" spans="1:2" x14ac:dyDescent="0.3">
      <c r="A2" s="31" t="s">
        <v>72</v>
      </c>
      <c r="B2" s="29">
        <v>1</v>
      </c>
    </row>
    <row r="3" spans="1:2" x14ac:dyDescent="0.3">
      <c r="A3" s="31" t="s">
        <v>73</v>
      </c>
      <c r="B3" s="29">
        <v>1</v>
      </c>
    </row>
    <row r="4" spans="1:2" x14ac:dyDescent="0.3">
      <c r="A4" s="31" t="s">
        <v>74</v>
      </c>
      <c r="B4" s="29">
        <v>1</v>
      </c>
    </row>
    <row r="5" spans="1:2" x14ac:dyDescent="0.3">
      <c r="A5" s="31" t="s">
        <v>75</v>
      </c>
      <c r="B5" s="29">
        <v>1</v>
      </c>
    </row>
    <row r="6" spans="1:2" x14ac:dyDescent="0.3">
      <c r="A6" s="31" t="s">
        <v>62</v>
      </c>
      <c r="B6" s="29">
        <v>1</v>
      </c>
    </row>
    <row r="7" spans="1:2" x14ac:dyDescent="0.3">
      <c r="A7" s="31" t="s">
        <v>63</v>
      </c>
      <c r="B7" s="29">
        <v>1</v>
      </c>
    </row>
    <row r="8" spans="1:2" x14ac:dyDescent="0.3">
      <c r="B8" s="29"/>
    </row>
    <row r="9" spans="1:2" x14ac:dyDescent="0.3">
      <c r="A9" s="28" t="s">
        <v>64</v>
      </c>
      <c r="B9" s="29"/>
    </row>
    <row r="10" spans="1:2" x14ac:dyDescent="0.3">
      <c r="A10" s="31" t="s">
        <v>76</v>
      </c>
      <c r="B10" s="29">
        <v>1</v>
      </c>
    </row>
    <row r="11" spans="1:2" x14ac:dyDescent="0.3">
      <c r="A11" s="31" t="s">
        <v>77</v>
      </c>
      <c r="B11" s="29">
        <v>1</v>
      </c>
    </row>
    <row r="12" spans="1:2" x14ac:dyDescent="0.3">
      <c r="A12" s="31" t="s">
        <v>65</v>
      </c>
      <c r="B12" s="29">
        <v>1</v>
      </c>
    </row>
    <row r="13" spans="1:2" x14ac:dyDescent="0.3">
      <c r="B13" s="29"/>
    </row>
    <row r="14" spans="1:2" x14ac:dyDescent="0.3">
      <c r="A14" s="28" t="s">
        <v>66</v>
      </c>
      <c r="B14" s="29"/>
    </row>
    <row r="15" spans="1:2" x14ac:dyDescent="0.3">
      <c r="A15" s="31" t="s">
        <v>67</v>
      </c>
      <c r="B15" s="29">
        <v>1</v>
      </c>
    </row>
    <row r="16" spans="1:2" x14ac:dyDescent="0.3">
      <c r="A16" s="31" t="s">
        <v>68</v>
      </c>
      <c r="B16" s="29">
        <v>1</v>
      </c>
    </row>
    <row r="17" spans="1:2" x14ac:dyDescent="0.3">
      <c r="A17" s="31" t="s">
        <v>69</v>
      </c>
      <c r="B17" s="29">
        <v>1</v>
      </c>
    </row>
    <row r="18" spans="1:2" x14ac:dyDescent="0.3">
      <c r="A18" s="31" t="s">
        <v>70</v>
      </c>
      <c r="B18" s="29">
        <v>1</v>
      </c>
    </row>
    <row r="19" spans="1:2" x14ac:dyDescent="0.3">
      <c r="B19" s="29"/>
    </row>
    <row r="20" spans="1:2" x14ac:dyDescent="0.3">
      <c r="A20" s="28" t="s">
        <v>71</v>
      </c>
      <c r="B20" s="29"/>
    </row>
    <row r="21" spans="1:2" x14ac:dyDescent="0.3">
      <c r="A21" s="31" t="s">
        <v>78</v>
      </c>
      <c r="B21" s="29">
        <v>1</v>
      </c>
    </row>
    <row r="22" spans="1:2" x14ac:dyDescent="0.3">
      <c r="A22" s="30" t="s">
        <v>79</v>
      </c>
      <c r="B22" s="29">
        <v>1</v>
      </c>
    </row>
    <row r="23" spans="1:2" x14ac:dyDescent="0.3">
      <c r="A23" s="31" t="s">
        <v>80</v>
      </c>
      <c r="B23" s="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783C-35AC-4151-8AE8-E5DEEDAF5EA8}">
  <dimension ref="A1:B16"/>
  <sheetViews>
    <sheetView workbookViewId="0">
      <selection activeCell="F8" sqref="F8"/>
    </sheetView>
  </sheetViews>
  <sheetFormatPr defaultRowHeight="14.4" x14ac:dyDescent="0.3"/>
  <cols>
    <col min="1" max="1" width="57.21875" bestFit="1" customWidth="1"/>
  </cols>
  <sheetData>
    <row r="1" spans="1:2" x14ac:dyDescent="0.3">
      <c r="A1" s="28" t="s">
        <v>47</v>
      </c>
      <c r="B1" s="29"/>
    </row>
    <row r="2" spans="1:2" x14ac:dyDescent="0.3">
      <c r="A2" s="31" t="s">
        <v>59</v>
      </c>
      <c r="B2" s="29">
        <v>2</v>
      </c>
    </row>
    <row r="3" spans="1:2" x14ac:dyDescent="0.3">
      <c r="A3" s="31" t="s">
        <v>60</v>
      </c>
      <c r="B3" s="29">
        <v>2</v>
      </c>
    </row>
    <row r="4" spans="1:2" x14ac:dyDescent="0.3">
      <c r="A4" s="31" t="s">
        <v>53</v>
      </c>
      <c r="B4" s="29">
        <v>2</v>
      </c>
    </row>
    <row r="5" spans="1:2" x14ac:dyDescent="0.3">
      <c r="B5" s="29"/>
    </row>
    <row r="6" spans="1:2" x14ac:dyDescent="0.3">
      <c r="A6" s="28" t="s">
        <v>48</v>
      </c>
      <c r="B6" s="29"/>
    </row>
    <row r="7" spans="1:2" x14ac:dyDescent="0.3">
      <c r="A7" s="31" t="s">
        <v>54</v>
      </c>
      <c r="B7" s="29">
        <v>2</v>
      </c>
    </row>
    <row r="8" spans="1:2" x14ac:dyDescent="0.3">
      <c r="A8" s="31" t="s">
        <v>55</v>
      </c>
      <c r="B8" s="29">
        <v>2</v>
      </c>
    </row>
    <row r="9" spans="1:2" x14ac:dyDescent="0.3">
      <c r="A9" s="31" t="s">
        <v>56</v>
      </c>
      <c r="B9" s="29">
        <v>2</v>
      </c>
    </row>
    <row r="10" spans="1:2" x14ac:dyDescent="0.3">
      <c r="A10" s="31" t="s">
        <v>49</v>
      </c>
      <c r="B10" s="29">
        <v>2</v>
      </c>
    </row>
    <row r="11" spans="1:2" x14ac:dyDescent="0.3">
      <c r="A11" s="31" t="s">
        <v>57</v>
      </c>
      <c r="B11" s="29">
        <v>2</v>
      </c>
    </row>
    <row r="12" spans="1:2" x14ac:dyDescent="0.3">
      <c r="B12" s="29"/>
    </row>
    <row r="13" spans="1:2" x14ac:dyDescent="0.3">
      <c r="A13" s="28" t="s">
        <v>50</v>
      </c>
      <c r="B13" s="29"/>
    </row>
    <row r="14" spans="1:2" x14ac:dyDescent="0.3">
      <c r="A14" s="31" t="s">
        <v>58</v>
      </c>
      <c r="B14" s="29">
        <v>2</v>
      </c>
    </row>
    <row r="15" spans="1:2" x14ac:dyDescent="0.3">
      <c r="A15" s="31" t="s">
        <v>51</v>
      </c>
      <c r="B15" s="29">
        <v>2</v>
      </c>
    </row>
    <row r="16" spans="1:2" x14ac:dyDescent="0.3">
      <c r="A16" s="31" t="s">
        <v>52</v>
      </c>
      <c r="B16" s="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Метрики</vt:lpstr>
      <vt:lpstr>API-тесты</vt:lpstr>
      <vt:lpstr>Visual-тесты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a4619</dc:creator>
  <cp:lastModifiedBy>a4619</cp:lastModifiedBy>
  <dcterms:created xsi:type="dcterms:W3CDTF">2025-07-18T19:28:50Z</dcterms:created>
  <dcterms:modified xsi:type="dcterms:W3CDTF">2025-07-19T10:56:10Z</dcterms:modified>
</cp:coreProperties>
</file>