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gorsheludnev/Desktop/"/>
    </mc:Choice>
  </mc:AlternateContent>
  <xr:revisionPtr revIDLastSave="0" documentId="13_ncr:1_{AC688ABB-A8ED-AF45-B1CB-B0342BCDB3F2}" xr6:coauthVersionLast="47" xr6:coauthVersionMax="47" xr10:uidLastSave="{00000000-0000-0000-0000-000000000000}"/>
  <bookViews>
    <workbookView xWindow="0" yWindow="760" windowWidth="29400" windowHeight="16980" activeTab="2" xr2:uid="{00000000-000D-0000-FFFF-FFFF00000000}"/>
  </bookViews>
  <sheets>
    <sheet name="Пример информации о проекте" sheetId="1" r:id="rId1"/>
    <sheet name="Информация о проекте" sheetId="2" r:id="rId2"/>
    <sheet name="Тестовое покрыти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3" l="1"/>
  <c r="H54" i="3"/>
  <c r="G54" i="3"/>
  <c r="H15" i="3"/>
  <c r="G15" i="3"/>
  <c r="H13" i="3"/>
  <c r="H37" i="3"/>
  <c r="F4" i="3"/>
  <c r="E42" i="3"/>
  <c r="E47" i="3"/>
  <c r="E49" i="3"/>
  <c r="E50" i="3"/>
  <c r="E51" i="3"/>
  <c r="E52" i="3"/>
  <c r="E61" i="3"/>
  <c r="E62" i="3"/>
  <c r="E63" i="3"/>
  <c r="E64" i="3"/>
  <c r="E65" i="3"/>
  <c r="E66" i="3"/>
  <c r="E67" i="3"/>
  <c r="E68" i="3"/>
  <c r="E69" i="3"/>
  <c r="E7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F2" i="3"/>
  <c r="E3" i="3"/>
  <c r="E4" i="3"/>
  <c r="E5" i="3"/>
  <c r="E6" i="3"/>
  <c r="E7" i="3"/>
  <c r="E8" i="3"/>
  <c r="E9" i="3"/>
  <c r="E10" i="3"/>
  <c r="E11" i="3"/>
  <c r="E2" i="3"/>
  <c r="H20" i="3" l="1"/>
  <c r="F3" i="3"/>
  <c r="G20" i="3" l="1"/>
</calcChain>
</file>

<file path=xl/sharedStrings.xml><?xml version="1.0" encoding="utf-8"?>
<sst xmlns="http://schemas.openxmlformats.org/spreadsheetml/2006/main" count="430" uniqueCount="191">
  <si>
    <t>№</t>
  </si>
  <si>
    <t>Раздел</t>
  </si>
  <si>
    <t>Содержание</t>
  </si>
  <si>
    <t>Цель тестирования</t>
  </si>
  <si>
    <t>Область охвата (Scope)</t>
  </si>
  <si>
    <t>Объекты тестирования</t>
  </si>
  <si>
    <t>- REST API для авторизации и профиля</t>
  </si>
  <si>
    <t>Вид тестирования</t>
  </si>
  <si>
    <t>- Функциональное</t>
  </si>
  <si>
    <t>- Регрессионное</t>
  </si>
  <si>
    <t>Стратегия тестирования</t>
  </si>
  <si>
    <t>Критерии входа (Entry)</t>
  </si>
  <si>
    <t>- Получен стабильный билд v1.2.3</t>
  </si>
  <si>
    <t>- Тестовое окружение доступно</t>
  </si>
  <si>
    <t>- Все требования утверждены</t>
  </si>
  <si>
    <t>Критерии выхода (Exit)</t>
  </si>
  <si>
    <t>- Выполнено 100% запланированных тестов</t>
  </si>
  <si>
    <t>- Нет открытых критических/блокирующих дефектов</t>
  </si>
  <si>
    <t>- Финальный отчет согласован</t>
  </si>
  <si>
    <t>Инструменты и ресурсы</t>
  </si>
  <si>
    <t>График/сроки</t>
  </si>
  <si>
    <t>Управление дефектами</t>
  </si>
  <si>
    <t>Метрики</t>
  </si>
  <si>
    <t>Риски</t>
  </si>
  <si>
    <t>- Задержки при поставке билда</t>
  </si>
  <si>
    <t xml:space="preserve">- Недостаточная документация </t>
  </si>
  <si>
    <t>Сроки реализации:</t>
  </si>
  <si>
    <t>Платформы:</t>
  </si>
  <si>
    <t>Конфигурации и учетные записи:</t>
  </si>
  <si>
    <t>Макет:</t>
  </si>
  <si>
    <t>ссылка</t>
  </si>
  <si>
    <t>Документация:</t>
  </si>
  <si>
    <t>Виды тестирования:</t>
  </si>
  <si>
    <t>Риски :</t>
  </si>
  <si>
    <t>Критерии завершения тестирования:</t>
  </si>
  <si>
    <t>Готова тестовая документация
тестовые сценарии выполнены успешно
написана автоматизация и тесты добавлены в CI/CD</t>
  </si>
  <si>
    <t>Требования (чеклистом)</t>
  </si>
  <si>
    <t>Есть проверки (+)</t>
  </si>
  <si>
    <t>Автоматизировано (+)</t>
  </si>
  <si>
    <t>Метрика покрытия автотестами</t>
  </si>
  <si>
    <t>[API] Авторизация пользователя</t>
  </si>
  <si>
    <t>+</t>
  </si>
  <si>
    <t>[API] Успешное добавление вещей в корзину</t>
  </si>
  <si>
    <t>[API] Добавление вещей в корзину без авторизации</t>
  </si>
  <si>
    <t>[API] Поведение при добавлении дубликатов в корзину [BUG]</t>
  </si>
  <si>
    <t>[API] Добавление несуществующих вещей в корзину [BUG]</t>
  </si>
  <si>
    <t>[API] Успешное создание лука</t>
  </si>
  <si>
    <t>[API] Создание лука без авторизации</t>
  </si>
  <si>
    <t>[API] Отправка невалидных данных при создании лука</t>
  </si>
  <si>
    <t>[API] Отправка строки вместо массива при создании лука</t>
  </si>
  <si>
    <t>[API] Проверка корректности отображения гардероба у пользователя</t>
  </si>
  <si>
    <t>[API] Удаление существующего лука</t>
  </si>
  <si>
    <t>[API] Удаление несуществующего лука</t>
  </si>
  <si>
    <t>[API] Фильтрация лука по сезону и стилю</t>
  </si>
  <si>
    <t>[API] Фильтрация лука по сезону и поводу</t>
  </si>
  <si>
    <t>[API] Фильтрация лука по поводу и стилю</t>
  </si>
  <si>
    <t>[API] Поиск несуществующих вещей по фильтру на стартовом экране</t>
  </si>
  <si>
    <t>[API] Фильтрация товаров стартового экрана по типу и виду</t>
  </si>
  <si>
    <t>[API] Фильтрация товаров стартового экрана по типу и цвету</t>
  </si>
  <si>
    <t>[API] Фильтрация товаров стартового экрана по виду и цвету</t>
  </si>
  <si>
    <t>[API] Фильтр обуви по каегории "Верх" на стартовом экране</t>
  </si>
  <si>
    <t>[API] Получение стартового экрана без фильтров</t>
  </si>
  <si>
    <t>[API] Получение стартового экрана без авторизации</t>
  </si>
  <si>
    <t>[API] Фильтрация по типу (TOP, BOTTOM, SHOES) на стартовом экране</t>
  </si>
  <si>
    <t>[API] Фильтрация по виду (T-SHIRT, JEANS, SNEAKERS) на стартовом экране</t>
  </si>
  <si>
    <t>[API] Фильтрация по цвету на стартовом экране</t>
  </si>
  <si>
    <t>[API] Фильтрация по полу (MALE, FEMALE) на стартовом экране</t>
  </si>
  <si>
    <t>[API] Комбинированный фильтр (тип + цвет + размер) на стартовом экране</t>
  </si>
  <si>
    <t>-</t>
  </si>
  <si>
    <t>[API] Успешный запрос без фильтров в конструкторе</t>
  </si>
  <si>
    <t>[API] Успешный запрос с фильтрами в конструкторе</t>
  </si>
  <si>
    <t>[API] Запрос в конструкторе с невалидным user_id</t>
  </si>
  <si>
    <t>[API] Запрос в конструкторе без авторизации</t>
  </si>
  <si>
    <t>[API] Фильтрация по типу (верх, низ, обувь) в конструкторе</t>
  </si>
  <si>
    <t>[API] Фильтрация по виду (футболка, джинсы, кеды) в конструкторе</t>
  </si>
  <si>
    <t>[API] Фильтр по несуществующему критерию в конструкторе</t>
  </si>
  <si>
    <t>[API] Запрос на получение гардеробов без авторизации</t>
  </si>
  <si>
    <t>[API] Получение гардеробов у существующего пользователя неимеющего его</t>
  </si>
  <si>
    <t>[API] Получение гардеробов у существующего пользователя имеющего его</t>
  </si>
  <si>
    <t>[UI] Соответствие макету (отступы, шрифты, цвета)</t>
  </si>
  <si>
    <t>[UI] Кликабельность, состояние кнопок</t>
  </si>
  <si>
    <t>[UI] Выбор/снятие выделения (чекбоксы)</t>
  </si>
  <si>
    <t>[UI] Переход по страницам, количество элементов на странице</t>
  </si>
  <si>
    <t>Автотесты</t>
  </si>
  <si>
    <t>Android/IOS</t>
  </si>
  <si>
    <t>13/08/2025</t>
  </si>
  <si>
    <t xml:space="preserve">-&gt; Наблюдались задержки в API-интеграции между бекендом и мобильными приложениями.
</t>
  </si>
  <si>
    <t>Проверка корректной работы функций подбора образов, функционала гардероба и онлайн-примерки</t>
  </si>
  <si>
    <t>Тестируются страницы: гардероб, карусель, образа, примерки, стартовая</t>
  </si>
  <si>
    <t>Не тестируются: настройки уведомлений, страница профиля, избранные товары</t>
  </si>
  <si>
    <t>IOS и Android эмуляторы</t>
  </si>
  <si>
    <t>Ручное тестирование с использованием тест-кейсов</t>
  </si>
  <si>
    <t>Автоматизация тестов</t>
  </si>
  <si>
    <t>[API] Загрузка фото в полный рост</t>
  </si>
  <si>
    <t>[API] Загрузка фото с неподходящим фоном (должна быть ошибка)</t>
  </si>
  <si>
    <t>[API] Загрузка фото без полного роста (должна быть ошибка)</t>
  </si>
  <si>
    <t>[API] Скорость примерки на фото</t>
  </si>
  <si>
    <t>[API] Синхронизация с корзиной основного приложения</t>
  </si>
  <si>
    <t>Метрика покрытия требований (%)</t>
  </si>
  <si>
    <t xml:space="preserve">API, UI/UX </t>
  </si>
  <si>
    <t>[IOS] Проверка совпадения названия образов на главном экране и на карточке</t>
  </si>
  <si>
    <t>[IOS] Выбор 1 вещи из гардероба для создания образа</t>
  </si>
  <si>
    <t>[IOS] Выбор 3+ вещей из гардероба для создания образа</t>
  </si>
  <si>
    <t>[IOS] Проверка кнопки "Новый образ" (ИИ)</t>
  </si>
  <si>
    <t>[IOS] Проверка кнопки "Назад" во время примерки</t>
  </si>
  <si>
    <t>[IOS] Фильтрация вещей по категориям (верхняя одежда и др.)</t>
  </si>
  <si>
    <t>[IOS] Работа жестов (свайпы и т.д.)</t>
  </si>
  <si>
    <t>[API] Выбор всех сезонов одновременно</t>
  </si>
  <si>
    <t>[IOS] Удаление вещи из гардероба</t>
  </si>
  <si>
    <t>[IOS] Проверка уведомлений о новых функциях</t>
  </si>
  <si>
    <t>[IOS] Отображение купленных вещей</t>
  </si>
  <si>
    <t>[IOS] Отображение избранных вещей</t>
  </si>
  <si>
    <t>[IOS] Перемещение вещи между гардеробами</t>
  </si>
  <si>
    <t>[IOS] Проверка уведомления о новом функционале</t>
  </si>
  <si>
    <t>[IOS] Проверка подсказок при загрузке фото</t>
  </si>
  <si>
    <t>[IOS] Скорость загрузки гардероба (10+ вещей)</t>
  </si>
  <si>
    <t>[IOS] Скорость подбора образа (3+ вещи)</t>
  </si>
  <si>
    <t>[IOS] Поведение при прерывании создания образа</t>
  </si>
  <si>
    <t>[IOS] Поведение при потере соединения</t>
  </si>
  <si>
    <t>[IOS] Попытка сохранить образ с неверными параметрами</t>
  </si>
  <si>
    <t>[IOS] Проверка адаптивности интерфейса</t>
  </si>
  <si>
    <t>[IOS] Сохранение образа в "Готовые образы"</t>
  </si>
  <si>
    <t>[IOS] Редактирование параметров сохраненного образа</t>
  </si>
  <si>
    <t>[IOS] Удаление образа</t>
  </si>
  <si>
    <t>[IOS] Добавление всего образа в корзину</t>
  </si>
  <si>
    <t>[IOS] Добавление части вещей из образа в корзину</t>
  </si>
  <si>
    <t>[IOS] Сохранение образа без указания стиля</t>
  </si>
  <si>
    <t>[IOS] Выбор нескольких стилей для одного образа</t>
  </si>
  <si>
    <t>[Android] Выбор 1 вещи из гардероба для создания образа</t>
  </si>
  <si>
    <t>[Android] Выбор 3+ вещей из гардероба для создания образа</t>
  </si>
  <si>
    <t>[Android] Проверка кнопки "Новый образ" (ИИ)</t>
  </si>
  <si>
    <t>[Android] Выбор нескольких стилей для одного образа</t>
  </si>
  <si>
    <t>[Android] Сохранение образа без указания стиля</t>
  </si>
  <si>
    <t>[Android] Проверка кнопки "Назад" во время примерки</t>
  </si>
  <si>
    <t>[Android] Сохранение образа в "Готовые образы"</t>
  </si>
  <si>
    <t>[Android] Редактирование параметров сохраненного образа</t>
  </si>
  <si>
    <t>[Android] Удаление образа</t>
  </si>
  <si>
    <t>[Android] Добавление всего образа в корзину</t>
  </si>
  <si>
    <t>[Android] Добавление части вещей из образа в корзину</t>
  </si>
  <si>
    <t>[Android] Отображение купленных вещей</t>
  </si>
  <si>
    <t>[Android] Отображение избранных вещей</t>
  </si>
  <si>
    <t>[Android] Перемещение вещи между гардеробами</t>
  </si>
  <si>
    <t>[Android] Удаление вещи из гардероба</t>
  </si>
  <si>
    <t>[Android] Фильтрация вещей по категориям (верхняя одежда и др.)</t>
  </si>
  <si>
    <t>[Android] Проверка уведомления о новом функционале</t>
  </si>
  <si>
    <t>[Android] Проверка подсказок при загрузке фото</t>
  </si>
  <si>
    <t>[Android] Скорость загрузки гардероба (10+ вещей)</t>
  </si>
  <si>
    <t>[Android] Скорость подбора образа (3+ вещи)</t>
  </si>
  <si>
    <t>[Android] Поведение при прерывании создания образа</t>
  </si>
  <si>
    <t>[Android] Поведение при потере соединения</t>
  </si>
  <si>
    <t>[Android] Попытка сохранить образ с неверными параметрами</t>
  </si>
  <si>
    <t>[Android] Проверка адаптивности интерфейса</t>
  </si>
  <si>
    <t>[Android] Работа жестов (свайпы и т.д.)</t>
  </si>
  <si>
    <t>[Android] Проверка уведомлений о новых функциях</t>
  </si>
  <si>
    <t>[Android] Проверка совпадения названия образов на главном экране и на карточке</t>
  </si>
  <si>
    <t>[IOS] Проверка соответствия образов на экране гардероба и экране образов на сранице образов</t>
  </si>
  <si>
    <t>Тестирование: 13.08.2025 – 19.08.2025</t>
  </si>
  <si>
    <t>Дефекты регистрируются в SourceCraft, приоритеты по стандарту: Blocker, Critical, Major и т.д.</t>
  </si>
  <si>
    <t>Инструменты:  SourceCraft, Postman, Android studio, Xcode</t>
  </si>
  <si>
    <t>- % покрытия требований тестами</t>
  </si>
  <si>
    <t>- % покрытия автотестами</t>
  </si>
  <si>
    <t>Найдено багов</t>
  </si>
  <si>
    <t>Баги в процессе исправления</t>
  </si>
  <si>
    <t>Исправленные баги</t>
  </si>
  <si>
    <t>Итого исправлено</t>
  </si>
  <si>
    <t>[IOS] Кнопка создания образа через карточку образа</t>
  </si>
  <si>
    <t>[ANDROID] Проверка соответствия образов на экране гардероба и экране образов на сранице образов</t>
  </si>
  <si>
    <t>[ANDROID] Кнопка создания образа через карточку образа</t>
  </si>
  <si>
    <t>[API] Отображение вещей в корзине</t>
  </si>
  <si>
    <t>[IOS] Фильтр "В корзине" на экране гардероба</t>
  </si>
  <si>
    <t>[Android]  Фильтр "В корзине" на экране гардероба</t>
  </si>
  <si>
    <t>[IOS] Синхронизация состояния чекбоксов для одного и того же товара в разных разделах</t>
  </si>
  <si>
    <t>[Android] Синхронизация состояния чекбоксов для одного и того же товара в разных разделах</t>
  </si>
  <si>
    <t>[Android] [Страница создания образа, фильтры] Выбор пола (мужской/женский) – только один активный вариант, корректное выделение</t>
  </si>
  <si>
    <t>[Android] [Страница создания образа, фильтры] Выбор размеров верха (XS–XL) – множественный выбор, корректное выделение</t>
  </si>
  <si>
    <t>[Android] [Страница создания образа, фильтры] Выбор сезонов (лето/зима/весна/осень) – множественный выбор, корректное выделени</t>
  </si>
  <si>
    <t>[IOS] [Страница создания образа, фильтры] Выбор пола (мужской/женский) – только один активный вариант, корректное выделение</t>
  </si>
  <si>
    <t>[IOS] [Страница создания образа, фильтры] Выбор размеров верха (XS–XL) – множественный выбор, корректное выделение</t>
  </si>
  <si>
    <t>[IOS] [Страница создания образа, фильтры] Выбор сезонов (лето/зима/весна/осень) – множественный выбор, корректное выделени</t>
  </si>
  <si>
    <t>[IOS] Проверка сохранения обновленного названия образа при нажатии "Назад"</t>
  </si>
  <si>
    <t>[Android] Проверка сохранения обновленного названия образа при нажатии "Назад"</t>
  </si>
  <si>
    <t>Требования</t>
  </si>
  <si>
    <t>Протестировано</t>
  </si>
  <si>
    <t>Автоматизировано</t>
  </si>
  <si>
    <t>По видам тестирования</t>
  </si>
  <si>
    <t>API (36%)</t>
  </si>
  <si>
    <t>Android (32%)</t>
  </si>
  <si>
    <t>IOS (32%)</t>
  </si>
  <si>
    <t>Протестировано (60%)</t>
  </si>
  <si>
    <t>Протестировано (100%)</t>
  </si>
  <si>
    <t>Требований, не покрытых тестами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</si>
</sst>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rgb="FF000000"/>
      <name val="Inter"/>
    </font>
    <font>
      <sz val="10"/>
      <color theme="1"/>
      <name val="Arial"/>
      <family val="2"/>
      <scheme val="minor"/>
    </font>
    <font>
      <u/>
      <sz val="10"/>
      <color rgb="FF000000"/>
      <name val="Inte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 (Body)"/>
    </font>
    <font>
      <sz val="10"/>
      <color rgb="FFFF0000"/>
      <name val="Arial"/>
      <family val="2"/>
      <scheme val="minor"/>
    </font>
    <font>
      <sz val="10"/>
      <color theme="0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0" fillId="0" borderId="0" xfId="0" applyFont="1"/>
    <xf numFmtId="0" fontId="9" fillId="0" borderId="0" xfId="1"/>
    <xf numFmtId="0" fontId="5" fillId="0" borderId="0" xfId="0" applyFont="1" applyAlignment="1">
      <alignment horizontal="left"/>
    </xf>
    <xf numFmtId="0" fontId="2" fillId="0" borderId="0" xfId="0" quotePrefix="1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/>
    <xf numFmtId="0" fontId="2" fillId="0" borderId="0" xfId="0" quotePrefix="1" applyFont="1"/>
    <xf numFmtId="0" fontId="1" fillId="2" borderId="1" xfId="0" quotePrefix="1" applyFont="1" applyFill="1" applyBorder="1" applyAlignment="1">
      <alignment horizontal="left"/>
    </xf>
    <xf numFmtId="0" fontId="12" fillId="0" borderId="0" xfId="0" applyFont="1"/>
    <xf numFmtId="0" fontId="11" fillId="0" borderId="0" xfId="0" quotePrefix="1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Метрика покрытия автотестами</a:t>
            </a:r>
            <a:r>
              <a:rPr lang="en-US"/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0E-394F-9AA7-D51906C4FC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0E-394F-9AA7-D51906C4FC31}"/>
              </c:ext>
            </c:extLst>
          </c:dPt>
          <c:cat>
            <c:strRef>
              <c:f>'Тестовое покрытие'!$G$19:$H$19</c:f>
              <c:strCache>
                <c:ptCount val="2"/>
                <c:pt idx="0">
                  <c:v>Протестировано (100%)</c:v>
                </c:pt>
                <c:pt idx="1">
                  <c:v>Автотесты</c:v>
                </c:pt>
              </c:strCache>
            </c:strRef>
          </c:cat>
          <c:val>
            <c:numRef>
              <c:f>'Тестовое покрытие'!$G$20:$H$20</c:f>
              <c:numCache>
                <c:formatCode>General</c:formatCode>
                <c:ptCount val="2"/>
                <c:pt idx="0">
                  <c:v>60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2-B84B-8648-2A42F3867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Метрика покрытия требований (%)</a:t>
            </a:r>
            <a:r>
              <a:rPr lang="ru-RU" sz="1400" b="0" i="0" u="none" strike="noStrike" baseline="0"/>
              <a:t> </a:t>
            </a: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21-4D45-81FF-30FAD9E7F2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21-4D45-81FF-30FAD9E7F299}"/>
              </c:ext>
            </c:extLst>
          </c:dPt>
          <c:cat>
            <c:strRef>
              <c:f>'Тестовое покрытие'!$G$14:$H$14</c:f>
              <c:strCache>
                <c:ptCount val="2"/>
                <c:pt idx="0">
                  <c:v>Протестировано (60%)</c:v>
                </c:pt>
                <c:pt idx="1">
                  <c:v>Требований, не покрытых тестами (40%)</c:v>
                </c:pt>
              </c:strCache>
            </c:strRef>
          </c:cat>
          <c:val>
            <c:numRef>
              <c:f>'Тестовое покрытие'!$G$15:$H$15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1-694E-8EE7-557977C0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Фиксы багов (</a:t>
            </a:r>
            <a:r>
              <a:rPr lang="en-US" baseline="0"/>
              <a:t>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21-734C-AFCE-EA1ECC5A1C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21-734C-AFCE-EA1ECC5A1C96}"/>
              </c:ext>
            </c:extLst>
          </c:dPt>
          <c:cat>
            <c:strRef>
              <c:f>'Тестовое покрытие'!$G$35:$H$35</c:f>
              <c:strCache>
                <c:ptCount val="2"/>
                <c:pt idx="0">
                  <c:v>Баги в процессе исправления</c:v>
                </c:pt>
                <c:pt idx="1">
                  <c:v>Исправленные баги</c:v>
                </c:pt>
              </c:strCache>
            </c:strRef>
          </c:cat>
          <c:val>
            <c:numRef>
              <c:f>'Тестовое покрытие'!$G$36:$H$36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1-F146-8369-D068B54C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</a:t>
            </a:r>
            <a:r>
              <a:rPr lang="ru-RU" baseline="0"/>
              <a:t> уровням тестирования (</a:t>
            </a:r>
            <a:r>
              <a:rPr lang="en-US" baseline="0"/>
              <a:t>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CE-E948-BFEA-D9E8939BC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CE-E948-BFEA-D9E8939BCA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CE-E948-BFEA-D9E8939BCA96}"/>
              </c:ext>
            </c:extLst>
          </c:dPt>
          <c:cat>
            <c:strRef>
              <c:f>'Тестовое покрытие'!$G$53:$I$53</c:f>
              <c:strCache>
                <c:ptCount val="3"/>
                <c:pt idx="0">
                  <c:v>API (36%)</c:v>
                </c:pt>
                <c:pt idx="1">
                  <c:v>Android (32%)</c:v>
                </c:pt>
                <c:pt idx="2">
                  <c:v>IOS (32%)</c:v>
                </c:pt>
              </c:strCache>
            </c:strRef>
          </c:cat>
          <c:val>
            <c:numRef>
              <c:f>'Тестовое покрытие'!$G$54:$I$54</c:f>
              <c:numCache>
                <c:formatCode>General</c:formatCode>
                <c:ptCount val="3"/>
                <c:pt idx="0">
                  <c:v>36</c:v>
                </c:pt>
                <c:pt idx="1">
                  <c:v>32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3-4046-9BCD-1521FB88D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958445</xdr:colOff>
      <xdr:row>20</xdr:row>
      <xdr:rowOff>13509</xdr:rowOff>
    </xdr:from>
    <xdr:to>
      <xdr:col>8</xdr:col>
      <xdr:colOff>81065</xdr:colOff>
      <xdr:row>30</xdr:row>
      <xdr:rowOff>175623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021D0-E15A-E65F-51D6-00D2452D3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0</xdr:row>
      <xdr:rowOff>189147</xdr:rowOff>
    </xdr:from>
    <xdr:to>
      <xdr:col>8</xdr:col>
      <xdr:colOff>13511</xdr:colOff>
      <xdr:row>12</xdr:row>
      <xdr:rowOff>27021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637A46D-14EB-AA4A-4C51-9E835B4F4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949798</xdr:colOff>
      <xdr:row>37</xdr:row>
      <xdr:rowOff>33506</xdr:rowOff>
    </xdr:from>
    <xdr:to>
      <xdr:col>8</xdr:col>
      <xdr:colOff>0</xdr:colOff>
      <xdr:row>48</xdr:row>
      <xdr:rowOff>27021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76A3AF-A457-DEBB-D1FB-8A0877289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8467</xdr:colOff>
      <xdr:row>54</xdr:row>
      <xdr:rowOff>33866</xdr:rowOff>
    </xdr:from>
    <xdr:to>
      <xdr:col>7</xdr:col>
      <xdr:colOff>2396067</xdr:colOff>
      <xdr:row>65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D1A16-D010-E7AF-7E49-F19901CF5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k.exampl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DeVlukq168Dio50nuQE6x19c7vUmq7KW/edit" TargetMode="External"/><Relationship Id="rId2" Type="http://schemas.openxmlformats.org/officeDocument/2006/relationships/hyperlink" Target="https://disk.yandex.ru/i/cu-jxlzNFOpPNA" TargetMode="External"/><Relationship Id="rId1" Type="http://schemas.openxmlformats.org/officeDocument/2006/relationships/hyperlink" Target="https://www.figma.com/design/XQZu8Yuqg2dnrrh5C577BM/&#1054;&#1085;&#1083;&#1072;&#1081;&#1085;-&#1075;&#1072;&#1088;&#1076;&#1077;&#1088;&#1086;&#1073;?node-id=420-3057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0"/>
  <sheetViews>
    <sheetView zoomScale="110" workbookViewId="0">
      <selection activeCell="C27" sqref="C27"/>
    </sheetView>
  </sheetViews>
  <sheetFormatPr baseColWidth="10" defaultColWidth="12.6640625" defaultRowHeight="15.75" customHeight="1"/>
  <cols>
    <col min="2" max="2" width="25.83203125" customWidth="1"/>
    <col min="3" max="3" width="86.33203125" customWidth="1"/>
    <col min="4" max="4" width="24.33203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2"/>
    </row>
    <row r="2" spans="1:4" ht="15.75" customHeight="1">
      <c r="A2" s="1">
        <v>1</v>
      </c>
      <c r="B2" s="1" t="s">
        <v>3</v>
      </c>
      <c r="C2" s="1" t="s">
        <v>87</v>
      </c>
      <c r="D2" s="2"/>
    </row>
    <row r="3" spans="1:4" ht="15.75" customHeight="1">
      <c r="A3" s="1">
        <v>2</v>
      </c>
      <c r="B3" s="1" t="s">
        <v>4</v>
      </c>
      <c r="C3" s="1" t="s">
        <v>88</v>
      </c>
      <c r="D3" s="2"/>
    </row>
    <row r="4" spans="1:4" ht="15.75" customHeight="1">
      <c r="A4" s="1"/>
      <c r="B4" s="1"/>
      <c r="C4" s="1" t="s">
        <v>89</v>
      </c>
      <c r="D4" s="2"/>
    </row>
    <row r="5" spans="1:4" ht="15.75" customHeight="1">
      <c r="A5" s="1">
        <v>3</v>
      </c>
      <c r="B5" s="1" t="s">
        <v>5</v>
      </c>
      <c r="C5" s="3" t="s">
        <v>90</v>
      </c>
      <c r="D5" s="2"/>
    </row>
    <row r="6" spans="1:4" ht="15.75" customHeight="1">
      <c r="A6" s="1"/>
      <c r="B6" s="1"/>
      <c r="C6" s="1" t="s">
        <v>6</v>
      </c>
      <c r="D6" s="2"/>
    </row>
    <row r="7" spans="1:4" ht="15.75" customHeight="1">
      <c r="A7" s="1">
        <v>4</v>
      </c>
      <c r="B7" s="1" t="s">
        <v>7</v>
      </c>
      <c r="C7" s="1" t="s">
        <v>8</v>
      </c>
      <c r="D7" s="2"/>
    </row>
    <row r="8" spans="1:4" ht="15.75" customHeight="1">
      <c r="A8" s="1"/>
      <c r="B8" s="1"/>
      <c r="C8" s="1" t="s">
        <v>9</v>
      </c>
      <c r="D8" s="2"/>
    </row>
    <row r="9" spans="1:4" ht="15.75" customHeight="1">
      <c r="A9" s="1"/>
      <c r="B9" s="1"/>
      <c r="C9" s="1"/>
      <c r="D9" s="2"/>
    </row>
    <row r="10" spans="1:4" ht="15.75" customHeight="1">
      <c r="A10" s="1">
        <v>5</v>
      </c>
      <c r="B10" s="1" t="s">
        <v>10</v>
      </c>
      <c r="C10" s="1" t="s">
        <v>91</v>
      </c>
      <c r="D10" s="2"/>
    </row>
    <row r="11" spans="1:4" ht="15.75" customHeight="1">
      <c r="A11" s="1"/>
      <c r="B11" s="1"/>
      <c r="C11" s="1" t="s">
        <v>92</v>
      </c>
      <c r="D11" s="2"/>
    </row>
    <row r="12" spans="1:4" ht="15.75" customHeight="1">
      <c r="A12" s="1">
        <v>6</v>
      </c>
      <c r="B12" s="1" t="s">
        <v>11</v>
      </c>
      <c r="C12" s="1" t="s">
        <v>12</v>
      </c>
      <c r="D12" s="2"/>
    </row>
    <row r="13" spans="1:4" ht="15.75" customHeight="1">
      <c r="A13" s="1"/>
      <c r="B13" s="1"/>
      <c r="C13" s="1" t="s">
        <v>13</v>
      </c>
      <c r="D13" s="2"/>
    </row>
    <row r="14" spans="1:4" ht="15.75" customHeight="1">
      <c r="A14" s="1"/>
      <c r="B14" s="1"/>
      <c r="C14" s="1" t="s">
        <v>14</v>
      </c>
      <c r="D14" s="2"/>
    </row>
    <row r="15" spans="1:4" ht="15.75" customHeight="1">
      <c r="A15" s="1">
        <v>7</v>
      </c>
      <c r="B15" s="1" t="s">
        <v>15</v>
      </c>
      <c r="C15" s="1" t="s">
        <v>16</v>
      </c>
      <c r="D15" s="2"/>
    </row>
    <row r="16" spans="1:4" ht="15.75" customHeight="1">
      <c r="A16" s="1"/>
      <c r="B16" s="1"/>
      <c r="C16" s="1" t="s">
        <v>17</v>
      </c>
      <c r="D16" s="2"/>
    </row>
    <row r="17" spans="1:4" ht="15.75" customHeight="1">
      <c r="A17" s="1"/>
      <c r="B17" s="1"/>
      <c r="C17" s="1" t="s">
        <v>18</v>
      </c>
      <c r="D17" s="2"/>
    </row>
    <row r="18" spans="1:4" ht="15.75" customHeight="1">
      <c r="A18" s="1">
        <v>8</v>
      </c>
      <c r="B18" s="1" t="s">
        <v>19</v>
      </c>
      <c r="C18" s="1" t="s">
        <v>158</v>
      </c>
      <c r="D18" s="2"/>
    </row>
    <row r="19" spans="1:4" ht="15.75" customHeight="1">
      <c r="A19" s="1"/>
      <c r="B19" s="1"/>
      <c r="C19" s="1"/>
      <c r="D19" s="2"/>
    </row>
    <row r="20" spans="1:4" ht="15.75" customHeight="1">
      <c r="A20" s="1">
        <v>9</v>
      </c>
      <c r="B20" s="1" t="s">
        <v>20</v>
      </c>
      <c r="C20" s="1" t="s">
        <v>156</v>
      </c>
      <c r="D20" s="2"/>
    </row>
    <row r="21" spans="1:4" ht="15.75" customHeight="1">
      <c r="A21" s="1"/>
      <c r="B21" s="1"/>
      <c r="C21" s="1"/>
      <c r="D21" s="2"/>
    </row>
    <row r="22" spans="1:4" ht="15.75" customHeight="1">
      <c r="A22" s="1">
        <v>10</v>
      </c>
      <c r="B22" s="1" t="s">
        <v>21</v>
      </c>
      <c r="C22" s="1" t="s">
        <v>157</v>
      </c>
      <c r="D22" s="2"/>
    </row>
    <row r="23" spans="1:4" ht="15.75" customHeight="1">
      <c r="A23" s="1">
        <v>11</v>
      </c>
      <c r="B23" s="1" t="s">
        <v>22</v>
      </c>
      <c r="C23" s="19" t="s">
        <v>159</v>
      </c>
      <c r="D23" s="2"/>
    </row>
    <row r="24" spans="1:4" ht="15.75" customHeight="1">
      <c r="A24" s="1"/>
      <c r="B24" s="1"/>
      <c r="C24" s="19" t="s">
        <v>160</v>
      </c>
      <c r="D24" s="2"/>
    </row>
    <row r="25" spans="1:4" ht="15.75" customHeight="1">
      <c r="A25" s="1"/>
      <c r="B25" s="1"/>
      <c r="C25" s="1"/>
      <c r="D25" s="2"/>
    </row>
    <row r="26" spans="1:4" ht="15.75" customHeight="1">
      <c r="A26" s="1">
        <v>12</v>
      </c>
      <c r="B26" s="1" t="s">
        <v>23</v>
      </c>
      <c r="C26" s="1" t="s">
        <v>24</v>
      </c>
      <c r="D26" s="2"/>
    </row>
    <row r="27" spans="1:4" ht="15.75" customHeight="1">
      <c r="A27" s="1"/>
      <c r="B27" s="1"/>
      <c r="C27" s="1" t="s">
        <v>25</v>
      </c>
      <c r="D27" s="2"/>
    </row>
    <row r="28" spans="1:4" ht="15.75" customHeight="1">
      <c r="A28" s="1"/>
      <c r="B28" s="1"/>
      <c r="C28" s="1"/>
      <c r="D28" s="2"/>
    </row>
    <row r="29" spans="1:4" ht="15.75" customHeight="1">
      <c r="A29" s="2"/>
      <c r="B29" s="2"/>
      <c r="C29" s="2"/>
      <c r="D29" s="2"/>
    </row>
    <row r="30" spans="1:4" ht="15.75" customHeight="1">
      <c r="A30" s="2"/>
      <c r="B30" s="2"/>
      <c r="C30" s="2"/>
      <c r="D30" s="2"/>
    </row>
  </sheetData>
  <hyperlinks>
    <hyperlink ref="C5" r:id="rId1" display="- Web-приложение (https://lk.example.com)" xr:uid="{00000000-0004-0000-0000-000000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6"/>
  <sheetViews>
    <sheetView workbookViewId="0">
      <selection activeCell="A17" sqref="A17"/>
    </sheetView>
  </sheetViews>
  <sheetFormatPr baseColWidth="10" defaultColWidth="12.6640625" defaultRowHeight="15.75" customHeight="1"/>
  <cols>
    <col min="1" max="1" width="46.6640625" customWidth="1"/>
  </cols>
  <sheetData>
    <row r="1" spans="1:26" ht="13">
      <c r="A1" s="4" t="s">
        <v>26</v>
      </c>
      <c r="D1" s="5"/>
    </row>
    <row r="2" spans="1:26" ht="13">
      <c r="A2" s="6" t="s">
        <v>85</v>
      </c>
      <c r="D2" s="5"/>
    </row>
    <row r="3" spans="1:26" ht="13">
      <c r="A3" s="4" t="s">
        <v>27</v>
      </c>
      <c r="D3" s="5"/>
    </row>
    <row r="4" spans="1:26" ht="20.25" customHeight="1">
      <c r="A4" s="6" t="s">
        <v>84</v>
      </c>
      <c r="D4" s="5"/>
    </row>
    <row r="5" spans="1:26" ht="13">
      <c r="A5" s="4" t="s">
        <v>28</v>
      </c>
      <c r="D5" s="5"/>
    </row>
    <row r="6" spans="1:26" ht="27" customHeight="1">
      <c r="A6" s="12" t="s">
        <v>30</v>
      </c>
      <c r="D6" s="5"/>
    </row>
    <row r="7" spans="1:26" ht="13">
      <c r="A7" s="4" t="s">
        <v>29</v>
      </c>
      <c r="D7" s="5"/>
    </row>
    <row r="8" spans="1:26" ht="13">
      <c r="A8" s="12" t="s">
        <v>30</v>
      </c>
      <c r="D8" s="5"/>
    </row>
    <row r="9" spans="1:26" ht="13">
      <c r="A9" s="4" t="s">
        <v>31</v>
      </c>
      <c r="D9" s="5"/>
    </row>
    <row r="10" spans="1:26" ht="45" customHeight="1">
      <c r="A10" s="12" t="s">
        <v>30</v>
      </c>
      <c r="D10" s="5"/>
    </row>
    <row r="11" spans="1:26" ht="13">
      <c r="A11" s="7" t="s">
        <v>32</v>
      </c>
    </row>
    <row r="12" spans="1:26" ht="47.25" customHeight="1">
      <c r="A12" s="13" t="s">
        <v>99</v>
      </c>
    </row>
    <row r="13" spans="1:26" ht="13">
      <c r="A13" s="7"/>
    </row>
    <row r="14" spans="1:26" ht="13">
      <c r="A14" s="7" t="s">
        <v>33</v>
      </c>
    </row>
    <row r="15" spans="1:26" ht="47" customHeight="1">
      <c r="A15" s="14" t="s">
        <v>86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">
      <c r="A16" s="8" t="s">
        <v>34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1" ht="59.25" customHeight="1">
      <c r="A17" s="9" t="s">
        <v>35</v>
      </c>
    </row>
    <row r="18" spans="1:1" ht="13">
      <c r="A18" s="10"/>
    </row>
    <row r="19" spans="1:1" ht="13">
      <c r="A19" s="10"/>
    </row>
    <row r="24" spans="1:1" ht="15.75" customHeight="1">
      <c r="A24" s="6"/>
    </row>
    <row r="25" spans="1:1" ht="15.75" customHeight="1">
      <c r="A25" s="6"/>
    </row>
    <row r="26" spans="1:1" ht="15.75" customHeight="1">
      <c r="A26" s="6"/>
    </row>
  </sheetData>
  <hyperlinks>
    <hyperlink ref="A8" r:id="rId1" xr:uid="{34C456FC-BEFC-5046-A950-E2E43F75A906}"/>
    <hyperlink ref="A6" r:id="rId2" display="тык" xr:uid="{03758DEF-90BF-3D4A-B19E-AB2A1DC66772}"/>
    <hyperlink ref="A10" r:id="rId3" xr:uid="{0A070878-DCFC-B641-B610-D7EFAEEB8C90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51"/>
  <sheetViews>
    <sheetView tabSelected="1" topLeftCell="B1" workbookViewId="0">
      <selection activeCell="F1" sqref="F1:F5"/>
    </sheetView>
  </sheetViews>
  <sheetFormatPr baseColWidth="10" defaultColWidth="12.6640625" defaultRowHeight="15.75" customHeight="1"/>
  <cols>
    <col min="1" max="1" width="63.83203125" bestFit="1" customWidth="1"/>
    <col min="2" max="2" width="26.1640625" style="6" customWidth="1"/>
    <col min="3" max="3" width="20.5" style="6" customWidth="1"/>
    <col min="4" max="6" width="12.6640625" style="11"/>
    <col min="7" max="7" width="28.6640625" style="6" bestFit="1" customWidth="1"/>
    <col min="8" max="8" width="31.5" style="6" bestFit="1" customWidth="1"/>
    <col min="9" max="9" width="12.6640625" style="6"/>
    <col min="10" max="10" width="24.6640625" style="6" bestFit="1" customWidth="1"/>
    <col min="11" max="11" width="16.83203125" style="11" bestFit="1" customWidth="1"/>
    <col min="13" max="13" width="24.6640625" bestFit="1" customWidth="1"/>
    <col min="14" max="14" width="16.83203125" bestFit="1" customWidth="1"/>
  </cols>
  <sheetData>
    <row r="1" spans="1:25" s="6" customFormat="1" ht="15.75" customHeight="1">
      <c r="A1" s="4" t="s">
        <v>36</v>
      </c>
      <c r="B1" s="4" t="s">
        <v>37</v>
      </c>
      <c r="C1" s="4" t="s">
        <v>38</v>
      </c>
      <c r="D1" s="11" t="s">
        <v>181</v>
      </c>
      <c r="E1" s="11" t="s">
        <v>182</v>
      </c>
      <c r="K1" s="11" t="s">
        <v>183</v>
      </c>
    </row>
    <row r="2" spans="1:25" ht="15.75" customHeight="1">
      <c r="A2" s="6" t="s">
        <v>40</v>
      </c>
      <c r="B2" s="18" t="s">
        <v>41</v>
      </c>
      <c r="C2" s="18" t="s">
        <v>68</v>
      </c>
      <c r="D2" s="11">
        <v>1</v>
      </c>
      <c r="E2" s="11">
        <f>IF(B2="+",1,0)</f>
        <v>1</v>
      </c>
      <c r="F2" s="6">
        <f>SUM(D:D)</f>
        <v>119</v>
      </c>
      <c r="K2" s="11">
        <v>0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5.75" customHeight="1">
      <c r="A3" s="6" t="s">
        <v>42</v>
      </c>
      <c r="B3" s="18" t="s">
        <v>41</v>
      </c>
      <c r="C3" s="18" t="s">
        <v>68</v>
      </c>
      <c r="D3" s="11">
        <v>1</v>
      </c>
      <c r="E3" s="11">
        <f t="shared" ref="E3:E61" si="0">IF(B3="+",1,0)</f>
        <v>1</v>
      </c>
      <c r="F3" s="6">
        <f>SUM(E:E)</f>
        <v>71</v>
      </c>
      <c r="K3" s="11">
        <v>0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5.75" customHeight="1">
      <c r="A4" s="6" t="s">
        <v>45</v>
      </c>
      <c r="B4" s="18" t="s">
        <v>41</v>
      </c>
      <c r="C4" s="18" t="s">
        <v>68</v>
      </c>
      <c r="D4" s="11">
        <v>1</v>
      </c>
      <c r="E4" s="11">
        <f t="shared" si="0"/>
        <v>1</v>
      </c>
      <c r="F4" s="6">
        <f>SUM(K:K)</f>
        <v>5</v>
      </c>
      <c r="K4" s="11">
        <v>0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15.75" customHeight="1">
      <c r="A5" s="6" t="s">
        <v>43</v>
      </c>
      <c r="B5" s="18" t="s">
        <v>41</v>
      </c>
      <c r="C5" s="18" t="s">
        <v>68</v>
      </c>
      <c r="D5" s="11">
        <v>1</v>
      </c>
      <c r="E5" s="11">
        <f t="shared" si="0"/>
        <v>1</v>
      </c>
      <c r="F5" s="6"/>
      <c r="K5" s="11">
        <v>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15.75" customHeight="1">
      <c r="A6" s="6" t="s">
        <v>44</v>
      </c>
      <c r="B6" s="18" t="s">
        <v>41</v>
      </c>
      <c r="C6" s="18" t="s">
        <v>68</v>
      </c>
      <c r="D6" s="11">
        <v>1</v>
      </c>
      <c r="E6" s="11">
        <f t="shared" si="0"/>
        <v>1</v>
      </c>
      <c r="K6" s="11">
        <v>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15.75" customHeight="1">
      <c r="A7" s="6" t="s">
        <v>46</v>
      </c>
      <c r="B7" s="18" t="s">
        <v>41</v>
      </c>
      <c r="C7" s="18" t="s">
        <v>68</v>
      </c>
      <c r="D7" s="11">
        <v>1</v>
      </c>
      <c r="E7" s="11">
        <f t="shared" si="0"/>
        <v>1</v>
      </c>
      <c r="K7" s="11">
        <v>0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15.75" customHeight="1">
      <c r="A8" s="6" t="s">
        <v>47</v>
      </c>
      <c r="B8" s="18" t="s">
        <v>41</v>
      </c>
      <c r="C8" s="18" t="s">
        <v>68</v>
      </c>
      <c r="D8" s="11">
        <v>1</v>
      </c>
      <c r="E8" s="11">
        <f t="shared" si="0"/>
        <v>1</v>
      </c>
      <c r="K8" s="11">
        <v>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5.75" customHeight="1">
      <c r="A9" s="6" t="s">
        <v>48</v>
      </c>
      <c r="B9" s="18" t="s">
        <v>41</v>
      </c>
      <c r="C9" s="18" t="s">
        <v>68</v>
      </c>
      <c r="D9" s="11">
        <v>1</v>
      </c>
      <c r="E9" s="11">
        <f t="shared" si="0"/>
        <v>1</v>
      </c>
      <c r="K9" s="11">
        <v>0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5.75" customHeight="1">
      <c r="A10" s="6" t="s">
        <v>49</v>
      </c>
      <c r="B10" s="18" t="s">
        <v>41</v>
      </c>
      <c r="C10" s="18" t="s">
        <v>68</v>
      </c>
      <c r="D10" s="11">
        <v>1</v>
      </c>
      <c r="E10" s="11">
        <f t="shared" si="0"/>
        <v>1</v>
      </c>
      <c r="K10" s="11">
        <v>0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5.75" customHeight="1">
      <c r="A11" s="6" t="s">
        <v>50</v>
      </c>
      <c r="B11" s="18" t="s">
        <v>41</v>
      </c>
      <c r="C11" s="18" t="s">
        <v>68</v>
      </c>
      <c r="D11" s="11">
        <v>1</v>
      </c>
      <c r="E11" s="11">
        <f t="shared" si="0"/>
        <v>1</v>
      </c>
      <c r="K11" s="11">
        <v>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5.75" customHeight="1">
      <c r="A12" s="6" t="s">
        <v>51</v>
      </c>
      <c r="B12" s="18" t="s">
        <v>41</v>
      </c>
      <c r="C12" s="18" t="s">
        <v>68</v>
      </c>
      <c r="D12" s="11">
        <v>1</v>
      </c>
      <c r="E12" s="11">
        <f t="shared" si="0"/>
        <v>1</v>
      </c>
      <c r="K12" s="11">
        <v>0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5.75" customHeight="1">
      <c r="A13" s="6" t="s">
        <v>52</v>
      </c>
      <c r="B13" s="18" t="s">
        <v>41</v>
      </c>
      <c r="C13" s="18" t="s">
        <v>68</v>
      </c>
      <c r="D13" s="11">
        <v>1</v>
      </c>
      <c r="E13" s="11">
        <f t="shared" si="0"/>
        <v>1</v>
      </c>
      <c r="G13" s="6" t="s">
        <v>98</v>
      </c>
      <c r="H13" s="6" t="str">
        <f>ROUND(F3/F2,2) * 100 &amp; "%"</f>
        <v>60%</v>
      </c>
      <c r="K13" s="11">
        <v>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5.75" customHeight="1">
      <c r="A14" s="6" t="s">
        <v>53</v>
      </c>
      <c r="B14" s="18" t="s">
        <v>41</v>
      </c>
      <c r="C14" s="18" t="s">
        <v>68</v>
      </c>
      <c r="D14" s="11">
        <v>1</v>
      </c>
      <c r="E14" s="11">
        <f t="shared" si="0"/>
        <v>1</v>
      </c>
      <c r="G14" s="6" t="s">
        <v>188</v>
      </c>
      <c r="H14" s="6" t="s">
        <v>190</v>
      </c>
      <c r="K14" s="11">
        <v>0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5.75" customHeight="1">
      <c r="A15" s="6" t="s">
        <v>54</v>
      </c>
      <c r="B15" s="18" t="s">
        <v>41</v>
      </c>
      <c r="C15" s="18" t="s">
        <v>68</v>
      </c>
      <c r="D15" s="11">
        <v>1</v>
      </c>
      <c r="E15" s="11">
        <f t="shared" si="0"/>
        <v>1</v>
      </c>
      <c r="G15" s="6">
        <f>ROUND(F3/F2*100, 0)</f>
        <v>60</v>
      </c>
      <c r="H15" s="6">
        <f>100-G15</f>
        <v>40</v>
      </c>
      <c r="K15" s="11">
        <v>0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5.75" customHeight="1">
      <c r="A16" s="6" t="s">
        <v>55</v>
      </c>
      <c r="B16" s="18" t="s">
        <v>41</v>
      </c>
      <c r="C16" s="18" t="s">
        <v>68</v>
      </c>
      <c r="D16" s="11">
        <v>1</v>
      </c>
      <c r="E16" s="11">
        <f t="shared" si="0"/>
        <v>1</v>
      </c>
      <c r="K16" s="11">
        <v>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5.75" customHeight="1">
      <c r="A17" s="6" t="s">
        <v>56</v>
      </c>
      <c r="B17" s="18" t="s">
        <v>41</v>
      </c>
      <c r="C17" s="18" t="s">
        <v>68</v>
      </c>
      <c r="D17" s="11">
        <v>1</v>
      </c>
      <c r="E17" s="11">
        <f t="shared" si="0"/>
        <v>1</v>
      </c>
      <c r="K17" s="11">
        <v>0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5.75" customHeight="1">
      <c r="A18" s="6" t="s">
        <v>57</v>
      </c>
      <c r="B18" s="18" t="s">
        <v>41</v>
      </c>
      <c r="C18" s="18" t="s">
        <v>68</v>
      </c>
      <c r="D18" s="11">
        <v>1</v>
      </c>
      <c r="E18" s="11">
        <f t="shared" si="0"/>
        <v>1</v>
      </c>
      <c r="G18" s="6" t="s">
        <v>39</v>
      </c>
      <c r="K18" s="11">
        <v>0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5.75" customHeight="1">
      <c r="A19" s="6" t="s">
        <v>58</v>
      </c>
      <c r="B19" s="18" t="s">
        <v>41</v>
      </c>
      <c r="C19" s="18" t="s">
        <v>68</v>
      </c>
      <c r="D19" s="11">
        <v>1</v>
      </c>
      <c r="E19" s="11">
        <f t="shared" si="0"/>
        <v>1</v>
      </c>
      <c r="G19" s="6" t="s">
        <v>189</v>
      </c>
      <c r="H19" s="6" t="s">
        <v>83</v>
      </c>
      <c r="K19" s="11">
        <v>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5.75" customHeight="1">
      <c r="A20" s="6" t="s">
        <v>59</v>
      </c>
      <c r="B20" s="18" t="s">
        <v>41</v>
      </c>
      <c r="C20" s="18" t="s">
        <v>68</v>
      </c>
      <c r="D20" s="11">
        <v>1</v>
      </c>
      <c r="E20" s="11">
        <f t="shared" si="0"/>
        <v>1</v>
      </c>
      <c r="G20" s="6">
        <f>G15</f>
        <v>60</v>
      </c>
      <c r="H20" s="6">
        <f>SUM(K:K)</f>
        <v>5</v>
      </c>
      <c r="K20" s="11">
        <v>0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>
      <c r="A21" s="6" t="s">
        <v>60</v>
      </c>
      <c r="B21" s="18" t="s">
        <v>41</v>
      </c>
      <c r="C21" s="18" t="s">
        <v>68</v>
      </c>
      <c r="D21" s="11">
        <v>1</v>
      </c>
      <c r="E21" s="11">
        <f t="shared" si="0"/>
        <v>1</v>
      </c>
      <c r="K21" s="11">
        <v>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>
      <c r="A22" s="6" t="s">
        <v>61</v>
      </c>
      <c r="B22" s="18" t="s">
        <v>41</v>
      </c>
      <c r="C22" s="18" t="s">
        <v>68</v>
      </c>
      <c r="D22" s="11">
        <v>1</v>
      </c>
      <c r="E22" s="11">
        <f t="shared" si="0"/>
        <v>1</v>
      </c>
      <c r="K22" s="11">
        <v>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customHeight="1">
      <c r="A23" s="6" t="s">
        <v>62</v>
      </c>
      <c r="B23" s="18" t="s">
        <v>41</v>
      </c>
      <c r="C23" s="18" t="s">
        <v>68</v>
      </c>
      <c r="D23" s="11">
        <v>1</v>
      </c>
      <c r="E23" s="11">
        <f t="shared" si="0"/>
        <v>1</v>
      </c>
      <c r="K23" s="11">
        <v>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.75" customHeight="1">
      <c r="A24" s="6" t="s">
        <v>63</v>
      </c>
      <c r="B24" s="18" t="s">
        <v>41</v>
      </c>
      <c r="C24" s="18" t="s">
        <v>68</v>
      </c>
      <c r="D24" s="11">
        <v>1</v>
      </c>
      <c r="E24" s="11">
        <f t="shared" si="0"/>
        <v>1</v>
      </c>
      <c r="K24" s="11">
        <v>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5.75" customHeight="1">
      <c r="A25" s="6" t="s">
        <v>64</v>
      </c>
      <c r="B25" s="18" t="s">
        <v>41</v>
      </c>
      <c r="C25" s="18" t="s">
        <v>68</v>
      </c>
      <c r="D25" s="11">
        <v>1</v>
      </c>
      <c r="E25" s="11">
        <f t="shared" si="0"/>
        <v>1</v>
      </c>
      <c r="K25" s="11">
        <v>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.75" customHeight="1">
      <c r="A26" s="6" t="s">
        <v>65</v>
      </c>
      <c r="B26" s="18" t="s">
        <v>41</v>
      </c>
      <c r="C26" s="18" t="s">
        <v>68</v>
      </c>
      <c r="D26" s="11">
        <v>1</v>
      </c>
      <c r="E26" s="11">
        <f t="shared" si="0"/>
        <v>1</v>
      </c>
      <c r="K26" s="11">
        <v>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.75" customHeight="1">
      <c r="A27" s="6" t="s">
        <v>66</v>
      </c>
      <c r="B27" s="18" t="s">
        <v>41</v>
      </c>
      <c r="C27" s="18" t="s">
        <v>68</v>
      </c>
      <c r="D27" s="11">
        <v>1</v>
      </c>
      <c r="E27" s="11">
        <f t="shared" si="0"/>
        <v>1</v>
      </c>
      <c r="K27" s="11">
        <v>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.75" customHeight="1">
      <c r="A28" s="6" t="s">
        <v>67</v>
      </c>
      <c r="B28" s="18" t="s">
        <v>41</v>
      </c>
      <c r="C28" s="18" t="s">
        <v>68</v>
      </c>
      <c r="D28" s="11">
        <v>1</v>
      </c>
      <c r="E28" s="11">
        <f t="shared" si="0"/>
        <v>1</v>
      </c>
      <c r="K28" s="11">
        <v>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.75" customHeight="1">
      <c r="A29" s="6" t="s">
        <v>69</v>
      </c>
      <c r="B29" s="18" t="s">
        <v>41</v>
      </c>
      <c r="C29" s="18" t="s">
        <v>68</v>
      </c>
      <c r="D29" s="11">
        <v>1</v>
      </c>
      <c r="E29" s="11">
        <f t="shared" si="0"/>
        <v>1</v>
      </c>
      <c r="K29" s="11">
        <v>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.75" customHeight="1">
      <c r="A30" s="6" t="s">
        <v>70</v>
      </c>
      <c r="B30" s="18" t="s">
        <v>41</v>
      </c>
      <c r="C30" s="18" t="s">
        <v>68</v>
      </c>
      <c r="D30" s="11">
        <v>1</v>
      </c>
      <c r="E30" s="11">
        <f t="shared" si="0"/>
        <v>1</v>
      </c>
      <c r="K30" s="11">
        <v>0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.75" customHeight="1">
      <c r="A31" s="6" t="s">
        <v>71</v>
      </c>
      <c r="B31" s="18" t="s">
        <v>41</v>
      </c>
      <c r="C31" s="18" t="s">
        <v>68</v>
      </c>
      <c r="D31" s="11">
        <v>1</v>
      </c>
      <c r="E31" s="11">
        <f t="shared" si="0"/>
        <v>1</v>
      </c>
      <c r="K31" s="11">
        <v>0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.75" customHeight="1">
      <c r="A32" s="6" t="s">
        <v>72</v>
      </c>
      <c r="B32" s="18" t="s">
        <v>41</v>
      </c>
      <c r="C32" s="18" t="s">
        <v>68</v>
      </c>
      <c r="D32" s="11">
        <v>1</v>
      </c>
      <c r="E32" s="11">
        <f t="shared" si="0"/>
        <v>1</v>
      </c>
      <c r="K32" s="11">
        <v>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.75" customHeight="1">
      <c r="A33" s="6" t="s">
        <v>73</v>
      </c>
      <c r="B33" s="18" t="s">
        <v>41</v>
      </c>
      <c r="C33" s="18" t="s">
        <v>68</v>
      </c>
      <c r="D33" s="11">
        <v>1</v>
      </c>
      <c r="E33" s="11">
        <f t="shared" si="0"/>
        <v>1</v>
      </c>
      <c r="K33" s="11">
        <v>0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5.75" customHeight="1">
      <c r="A34" s="6" t="s">
        <v>74</v>
      </c>
      <c r="B34" s="18" t="s">
        <v>41</v>
      </c>
      <c r="C34" s="18" t="s">
        <v>68</v>
      </c>
      <c r="D34" s="11">
        <v>1</v>
      </c>
      <c r="E34" s="11">
        <f t="shared" si="0"/>
        <v>1</v>
      </c>
      <c r="G34" s="6" t="s">
        <v>161</v>
      </c>
      <c r="H34" s="6">
        <v>9</v>
      </c>
      <c r="K34" s="11">
        <v>0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5.75" customHeight="1">
      <c r="A35" s="6" t="s">
        <v>75</v>
      </c>
      <c r="B35" s="18" t="s">
        <v>41</v>
      </c>
      <c r="C35" s="18" t="s">
        <v>68</v>
      </c>
      <c r="D35" s="11">
        <v>1</v>
      </c>
      <c r="E35" s="11">
        <f t="shared" si="0"/>
        <v>1</v>
      </c>
      <c r="G35" s="6" t="s">
        <v>162</v>
      </c>
      <c r="H35" s="6" t="s">
        <v>163</v>
      </c>
      <c r="K35" s="11">
        <v>0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>
      <c r="A36" s="6" t="s">
        <v>78</v>
      </c>
      <c r="B36" s="18" t="s">
        <v>41</v>
      </c>
      <c r="C36" s="18" t="s">
        <v>68</v>
      </c>
      <c r="D36" s="11">
        <v>1</v>
      </c>
      <c r="E36" s="11">
        <f t="shared" si="0"/>
        <v>1</v>
      </c>
      <c r="G36" s="6">
        <v>3</v>
      </c>
      <c r="H36" s="6">
        <v>6</v>
      </c>
      <c r="K36" s="11">
        <v>0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5.75" customHeight="1">
      <c r="A37" s="6" t="s">
        <v>77</v>
      </c>
      <c r="B37" s="18" t="s">
        <v>41</v>
      </c>
      <c r="C37" s="18" t="s">
        <v>68</v>
      </c>
      <c r="D37" s="11">
        <v>1</v>
      </c>
      <c r="E37" s="11">
        <f t="shared" si="0"/>
        <v>1</v>
      </c>
      <c r="G37" s="6" t="s">
        <v>164</v>
      </c>
      <c r="H37" s="6" t="str">
        <f>ROUND(H36 / (G36+H36),2)*100 &amp; "%"</f>
        <v>67%</v>
      </c>
      <c r="K37" s="11">
        <v>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.75" customHeight="1">
      <c r="A38" s="6" t="s">
        <v>76</v>
      </c>
      <c r="B38" s="18" t="s">
        <v>41</v>
      </c>
      <c r="C38" s="18" t="s">
        <v>68</v>
      </c>
      <c r="D38" s="11">
        <v>1</v>
      </c>
      <c r="E38" s="11">
        <f t="shared" si="0"/>
        <v>1</v>
      </c>
      <c r="K38" s="11">
        <v>0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.75" customHeight="1">
      <c r="A39" s="6" t="s">
        <v>79</v>
      </c>
      <c r="B39" s="18" t="s">
        <v>68</v>
      </c>
      <c r="C39" s="18" t="s">
        <v>68</v>
      </c>
      <c r="D39" s="11">
        <v>1</v>
      </c>
      <c r="E39" s="11">
        <f t="shared" si="0"/>
        <v>0</v>
      </c>
      <c r="K39" s="11">
        <v>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.75" customHeight="1">
      <c r="A40" s="6" t="s">
        <v>80</v>
      </c>
      <c r="B40" s="18" t="s">
        <v>41</v>
      </c>
      <c r="C40" s="18" t="s">
        <v>41</v>
      </c>
      <c r="D40" s="11">
        <v>1</v>
      </c>
      <c r="E40" s="11">
        <f t="shared" si="0"/>
        <v>1</v>
      </c>
      <c r="K40" s="11">
        <v>1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.75" customHeight="1">
      <c r="A41" s="6" t="s">
        <v>81</v>
      </c>
      <c r="B41" s="18" t="s">
        <v>41</v>
      </c>
      <c r="C41" s="18" t="s">
        <v>41</v>
      </c>
      <c r="D41" s="11">
        <v>1</v>
      </c>
      <c r="E41" s="11">
        <f t="shared" si="0"/>
        <v>1</v>
      </c>
      <c r="K41" s="11">
        <v>1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.75" customHeight="1">
      <c r="A42" s="6" t="s">
        <v>82</v>
      </c>
      <c r="B42" s="18" t="s">
        <v>41</v>
      </c>
      <c r="C42" s="18" t="s">
        <v>68</v>
      </c>
      <c r="D42" s="11">
        <v>1</v>
      </c>
      <c r="E42" s="11">
        <f t="shared" si="0"/>
        <v>1</v>
      </c>
      <c r="K42" s="11">
        <v>0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.75" customHeight="1">
      <c r="A43" s="15" t="s">
        <v>101</v>
      </c>
      <c r="B43" s="18" t="s">
        <v>41</v>
      </c>
      <c r="C43" s="18" t="s">
        <v>68</v>
      </c>
      <c r="D43" s="11">
        <v>1</v>
      </c>
      <c r="E43" s="11">
        <v>1</v>
      </c>
      <c r="K43" s="11">
        <v>0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.75" customHeight="1">
      <c r="A44" s="15" t="s">
        <v>102</v>
      </c>
      <c r="B44" s="18" t="s">
        <v>41</v>
      </c>
      <c r="C44" s="18" t="s">
        <v>68</v>
      </c>
      <c r="D44" s="11">
        <v>1</v>
      </c>
      <c r="E44" s="11">
        <v>1</v>
      </c>
      <c r="K44" s="11">
        <v>0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.75" customHeight="1">
      <c r="A45" s="15" t="s">
        <v>103</v>
      </c>
      <c r="B45" s="18" t="s">
        <v>41</v>
      </c>
      <c r="C45" s="18" t="s">
        <v>68</v>
      </c>
      <c r="D45" s="11">
        <v>1</v>
      </c>
      <c r="E45" s="11">
        <v>1</v>
      </c>
      <c r="K45" s="11">
        <v>0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.75" customHeight="1">
      <c r="A46" s="15" t="s">
        <v>127</v>
      </c>
      <c r="B46" s="18" t="s">
        <v>41</v>
      </c>
      <c r="C46" s="18" t="s">
        <v>68</v>
      </c>
      <c r="D46" s="11">
        <v>1</v>
      </c>
      <c r="E46" s="11">
        <v>1</v>
      </c>
      <c r="K46" s="11">
        <v>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.75" customHeight="1">
      <c r="A47" s="15" t="s">
        <v>107</v>
      </c>
      <c r="B47" s="6" t="s">
        <v>41</v>
      </c>
      <c r="C47" s="18" t="s">
        <v>68</v>
      </c>
      <c r="D47" s="11">
        <v>1</v>
      </c>
      <c r="E47" s="11">
        <f t="shared" si="0"/>
        <v>1</v>
      </c>
      <c r="K47" s="11">
        <v>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.75" customHeight="1">
      <c r="A48" s="15" t="s">
        <v>126</v>
      </c>
      <c r="B48" s="18" t="s">
        <v>68</v>
      </c>
      <c r="C48" s="18" t="s">
        <v>68</v>
      </c>
      <c r="D48" s="11">
        <v>1</v>
      </c>
      <c r="E48" s="11">
        <v>1</v>
      </c>
      <c r="K48" s="11">
        <v>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.75" customHeight="1">
      <c r="A49" s="15" t="s">
        <v>93</v>
      </c>
      <c r="B49" s="18" t="s">
        <v>68</v>
      </c>
      <c r="C49" s="18" t="s">
        <v>68</v>
      </c>
      <c r="D49" s="11">
        <v>1</v>
      </c>
      <c r="E49" s="11">
        <f t="shared" si="0"/>
        <v>0</v>
      </c>
      <c r="K49" s="11">
        <v>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5.75" customHeight="1">
      <c r="A50" s="15" t="s">
        <v>94</v>
      </c>
      <c r="B50" s="18" t="s">
        <v>68</v>
      </c>
      <c r="C50" s="18" t="s">
        <v>68</v>
      </c>
      <c r="D50" s="11">
        <v>1</v>
      </c>
      <c r="E50" s="11">
        <f t="shared" si="0"/>
        <v>0</v>
      </c>
      <c r="K50" s="11">
        <v>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5.75" customHeight="1">
      <c r="A51" s="15" t="s">
        <v>95</v>
      </c>
      <c r="B51" s="18" t="s">
        <v>68</v>
      </c>
      <c r="C51" s="18" t="s">
        <v>68</v>
      </c>
      <c r="D51" s="11">
        <v>1</v>
      </c>
      <c r="E51" s="11">
        <f t="shared" si="0"/>
        <v>0</v>
      </c>
      <c r="K51" s="11">
        <v>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5.75" customHeight="1">
      <c r="A52" s="15" t="s">
        <v>104</v>
      </c>
      <c r="B52" s="18" t="s">
        <v>68</v>
      </c>
      <c r="C52" s="18" t="s">
        <v>68</v>
      </c>
      <c r="D52" s="11">
        <v>1</v>
      </c>
      <c r="E52" s="11">
        <f t="shared" si="0"/>
        <v>0</v>
      </c>
      <c r="G52" s="6" t="s">
        <v>184</v>
      </c>
      <c r="K52" s="11">
        <v>0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.75" customHeight="1">
      <c r="A53" s="15" t="s">
        <v>121</v>
      </c>
      <c r="B53" s="18" t="s">
        <v>41</v>
      </c>
      <c r="C53" s="18" t="s">
        <v>68</v>
      </c>
      <c r="D53" s="11">
        <v>1</v>
      </c>
      <c r="E53" s="11">
        <v>1</v>
      </c>
      <c r="G53" s="6" t="s">
        <v>185</v>
      </c>
      <c r="H53" s="6" t="s">
        <v>186</v>
      </c>
      <c r="I53" s="6" t="s">
        <v>187</v>
      </c>
      <c r="K53" s="11">
        <v>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.75" customHeight="1">
      <c r="A54" s="15" t="s">
        <v>122</v>
      </c>
      <c r="B54" s="18" t="s">
        <v>41</v>
      </c>
      <c r="C54" s="18" t="s">
        <v>68</v>
      </c>
      <c r="D54" s="11">
        <v>1</v>
      </c>
      <c r="E54" s="11">
        <v>1</v>
      </c>
      <c r="G54" s="6">
        <f>ROUND((SUM(D2:D38)+SUM(D49:D51)+D60+D74+D102)/F2,2)*100</f>
        <v>36</v>
      </c>
      <c r="H54" s="6">
        <f>ROUND((SUM(D77:D104)+SUM(D107:D108)+SUM(D112:D115)+4)/F2,2)*100</f>
        <v>32</v>
      </c>
      <c r="I54" s="6">
        <f>ROUND((SUM(D43:D46)+SUM(D52:D72)+SUM(D75:D76)+SUM(D105:D106)+SUM(D117:D120)+5)/F2,2)*100</f>
        <v>32</v>
      </c>
      <c r="K54" s="11">
        <v>0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5.75" customHeight="1">
      <c r="A55" s="15" t="s">
        <v>123</v>
      </c>
      <c r="B55" s="18" t="s">
        <v>41</v>
      </c>
      <c r="C55" s="18" t="s">
        <v>68</v>
      </c>
      <c r="D55" s="11">
        <v>1</v>
      </c>
      <c r="E55" s="11">
        <v>1</v>
      </c>
      <c r="K55" s="11">
        <v>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.75" customHeight="1">
      <c r="A56" s="15" t="s">
        <v>124</v>
      </c>
      <c r="B56" s="18" t="s">
        <v>41</v>
      </c>
      <c r="C56" s="18" t="s">
        <v>68</v>
      </c>
      <c r="D56" s="11">
        <v>1</v>
      </c>
      <c r="E56" s="11">
        <v>1</v>
      </c>
      <c r="K56" s="11">
        <v>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.75" customHeight="1">
      <c r="A57" s="15" t="s">
        <v>125</v>
      </c>
      <c r="B57" s="18" t="s">
        <v>41</v>
      </c>
      <c r="C57" s="18" t="s">
        <v>68</v>
      </c>
      <c r="D57" s="11">
        <v>1</v>
      </c>
      <c r="E57" s="11">
        <v>1</v>
      </c>
      <c r="K57" s="11">
        <v>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>
      <c r="A58" s="15" t="s">
        <v>110</v>
      </c>
      <c r="B58" s="18" t="s">
        <v>41</v>
      </c>
      <c r="C58" s="18" t="s">
        <v>68</v>
      </c>
      <c r="D58" s="11">
        <v>1</v>
      </c>
      <c r="E58" s="11">
        <v>1</v>
      </c>
      <c r="K58" s="11">
        <v>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5.75" customHeight="1">
      <c r="A59" s="15" t="s">
        <v>111</v>
      </c>
      <c r="B59" s="18" t="s">
        <v>41</v>
      </c>
      <c r="C59" s="18" t="s">
        <v>68</v>
      </c>
      <c r="D59" s="11">
        <v>1</v>
      </c>
      <c r="E59" s="11">
        <v>1</v>
      </c>
      <c r="K59" s="11">
        <v>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5.75" customHeight="1">
      <c r="A60" s="15" t="s">
        <v>168</v>
      </c>
      <c r="B60" s="18" t="s">
        <v>41</v>
      </c>
      <c r="C60" s="18" t="s">
        <v>68</v>
      </c>
      <c r="D60" s="11">
        <v>1</v>
      </c>
      <c r="E60" s="11">
        <v>1</v>
      </c>
      <c r="K60" s="11">
        <v>0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.75" customHeight="1">
      <c r="A61" s="15" t="s">
        <v>112</v>
      </c>
      <c r="B61" s="18" t="s">
        <v>68</v>
      </c>
      <c r="C61" s="18" t="s">
        <v>68</v>
      </c>
      <c r="D61" s="11">
        <v>1</v>
      </c>
      <c r="E61" s="11">
        <f t="shared" si="0"/>
        <v>0</v>
      </c>
      <c r="K61" s="11">
        <v>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.75" customHeight="1">
      <c r="A62" s="15" t="s">
        <v>108</v>
      </c>
      <c r="B62" s="18" t="s">
        <v>68</v>
      </c>
      <c r="C62" s="18" t="s">
        <v>68</v>
      </c>
      <c r="D62" s="11">
        <v>1</v>
      </c>
      <c r="E62" s="11">
        <f t="shared" ref="E62:E70" si="1">IF(B62="+",1,0)</f>
        <v>0</v>
      </c>
      <c r="K62" s="11">
        <v>0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5.75" customHeight="1">
      <c r="A63" s="15" t="s">
        <v>105</v>
      </c>
      <c r="B63" s="18" t="s">
        <v>68</v>
      </c>
      <c r="C63" s="18" t="s">
        <v>68</v>
      </c>
      <c r="D63" s="11">
        <v>1</v>
      </c>
      <c r="E63" s="11">
        <f t="shared" si="1"/>
        <v>0</v>
      </c>
      <c r="K63" s="11">
        <v>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.75" customHeight="1">
      <c r="A64" s="15" t="s">
        <v>113</v>
      </c>
      <c r="B64" s="18" t="s">
        <v>68</v>
      </c>
      <c r="C64" s="18" t="s">
        <v>68</v>
      </c>
      <c r="D64" s="11">
        <v>1</v>
      </c>
      <c r="E64" s="11">
        <f t="shared" si="1"/>
        <v>0</v>
      </c>
      <c r="K64" s="11">
        <v>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5.75" customHeight="1">
      <c r="A65" s="15" t="s">
        <v>114</v>
      </c>
      <c r="B65" s="18" t="s">
        <v>68</v>
      </c>
      <c r="C65" s="18" t="s">
        <v>68</v>
      </c>
      <c r="D65" s="11">
        <v>1</v>
      </c>
      <c r="E65" s="11">
        <f t="shared" si="1"/>
        <v>0</v>
      </c>
      <c r="K65" s="11">
        <v>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5.75" customHeight="1">
      <c r="A66" s="15" t="s">
        <v>115</v>
      </c>
      <c r="B66" s="18" t="s">
        <v>68</v>
      </c>
      <c r="C66" s="18" t="s">
        <v>68</v>
      </c>
      <c r="D66" s="11">
        <v>1</v>
      </c>
      <c r="E66" s="11">
        <f t="shared" si="1"/>
        <v>0</v>
      </c>
      <c r="K66" s="11">
        <v>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5.75" customHeight="1">
      <c r="A67" s="15" t="s">
        <v>116</v>
      </c>
      <c r="B67" s="18" t="s">
        <v>68</v>
      </c>
      <c r="C67" s="18" t="s">
        <v>68</v>
      </c>
      <c r="D67" s="11">
        <v>1</v>
      </c>
      <c r="E67" s="11">
        <f t="shared" si="1"/>
        <v>0</v>
      </c>
      <c r="K67" s="11">
        <v>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.75" customHeight="1">
      <c r="A68" s="15" t="s">
        <v>96</v>
      </c>
      <c r="B68" s="18" t="s">
        <v>68</v>
      </c>
      <c r="C68" s="18" t="s">
        <v>68</v>
      </c>
      <c r="D68" s="11">
        <v>1</v>
      </c>
      <c r="E68" s="11">
        <f t="shared" si="1"/>
        <v>0</v>
      </c>
      <c r="K68" s="11">
        <v>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5.75" customHeight="1">
      <c r="A69" s="15" t="s">
        <v>117</v>
      </c>
      <c r="B69" s="18" t="s">
        <v>68</v>
      </c>
      <c r="C69" s="18" t="s">
        <v>68</v>
      </c>
      <c r="D69" s="11">
        <v>1</v>
      </c>
      <c r="E69" s="11">
        <f t="shared" si="1"/>
        <v>0</v>
      </c>
      <c r="K69" s="11">
        <v>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5.75" customHeight="1">
      <c r="A70" s="15" t="s">
        <v>118</v>
      </c>
      <c r="B70" s="18" t="s">
        <v>68</v>
      </c>
      <c r="C70" s="18" t="s">
        <v>68</v>
      </c>
      <c r="D70" s="11">
        <v>1</v>
      </c>
      <c r="E70" s="11">
        <f t="shared" si="1"/>
        <v>0</v>
      </c>
      <c r="K70" s="11">
        <v>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5.75" customHeight="1">
      <c r="A71" s="15" t="s">
        <v>119</v>
      </c>
      <c r="B71" s="18" t="s">
        <v>41</v>
      </c>
      <c r="C71" s="18" t="s">
        <v>68</v>
      </c>
      <c r="D71" s="11">
        <v>1</v>
      </c>
      <c r="E71" s="11">
        <v>1</v>
      </c>
      <c r="K71" s="11">
        <v>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5.75" customHeight="1">
      <c r="A72" s="15" t="s">
        <v>120</v>
      </c>
      <c r="B72" s="18" t="s">
        <v>41</v>
      </c>
      <c r="C72" s="18" t="s">
        <v>68</v>
      </c>
      <c r="D72" s="11">
        <v>1</v>
      </c>
      <c r="E72" s="11">
        <v>1</v>
      </c>
      <c r="K72" s="11">
        <v>0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5.75" customHeight="1">
      <c r="A73" s="15" t="s">
        <v>106</v>
      </c>
      <c r="B73" s="18" t="s">
        <v>41</v>
      </c>
      <c r="C73" s="18" t="s">
        <v>41</v>
      </c>
      <c r="D73" s="11">
        <v>1</v>
      </c>
      <c r="E73" s="11">
        <v>1</v>
      </c>
      <c r="K73" s="11">
        <v>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5.75" customHeight="1">
      <c r="A74" s="15" t="s">
        <v>97</v>
      </c>
      <c r="B74" s="18" t="s">
        <v>41</v>
      </c>
      <c r="C74" s="18" t="s">
        <v>68</v>
      </c>
      <c r="D74" s="11">
        <v>1</v>
      </c>
      <c r="E74" s="11">
        <v>1</v>
      </c>
      <c r="K74" s="11">
        <v>0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5.75" customHeight="1">
      <c r="A75" s="16" t="s">
        <v>109</v>
      </c>
      <c r="B75" s="18" t="s">
        <v>41</v>
      </c>
      <c r="C75" s="21" t="s">
        <v>68</v>
      </c>
      <c r="D75" s="11">
        <v>1</v>
      </c>
      <c r="E75" s="11">
        <v>1</v>
      </c>
      <c r="F75" s="22"/>
      <c r="G75" s="17"/>
      <c r="H75" s="17"/>
      <c r="I75" s="17"/>
      <c r="K75" s="11">
        <v>0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26" customHeight="1">
      <c r="A76" s="16" t="s">
        <v>100</v>
      </c>
      <c r="B76" s="18" t="s">
        <v>41</v>
      </c>
      <c r="C76" s="21" t="s">
        <v>41</v>
      </c>
      <c r="D76" s="11">
        <v>1</v>
      </c>
      <c r="E76" s="11">
        <v>1</v>
      </c>
      <c r="F76" s="22"/>
      <c r="G76" s="17"/>
      <c r="H76" s="17"/>
      <c r="I76" s="17"/>
      <c r="K76" s="11">
        <v>1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5.75" customHeight="1">
      <c r="A77" s="15" t="s">
        <v>128</v>
      </c>
      <c r="B77" s="18" t="s">
        <v>41</v>
      </c>
      <c r="C77" s="18" t="s">
        <v>68</v>
      </c>
      <c r="D77" s="11">
        <v>1</v>
      </c>
      <c r="E77" s="11">
        <v>1</v>
      </c>
      <c r="K77" s="11">
        <v>0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5.75" customHeight="1">
      <c r="A78" s="15" t="s">
        <v>129</v>
      </c>
      <c r="B78" s="18" t="s">
        <v>68</v>
      </c>
      <c r="C78" s="18" t="s">
        <v>68</v>
      </c>
      <c r="D78" s="11">
        <v>1</v>
      </c>
      <c r="E78" s="11">
        <v>0</v>
      </c>
      <c r="K78" s="11">
        <v>0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5.75" customHeight="1">
      <c r="A79" s="15" t="s">
        <v>130</v>
      </c>
      <c r="B79" s="18" t="s">
        <v>68</v>
      </c>
      <c r="C79" s="18" t="s">
        <v>68</v>
      </c>
      <c r="D79" s="11">
        <v>1</v>
      </c>
      <c r="E79" s="11">
        <v>0</v>
      </c>
      <c r="K79" s="11">
        <v>0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5.75" customHeight="1">
      <c r="A80" s="15" t="s">
        <v>131</v>
      </c>
      <c r="B80" s="18" t="s">
        <v>68</v>
      </c>
      <c r="C80" s="18" t="s">
        <v>68</v>
      </c>
      <c r="D80" s="11">
        <v>1</v>
      </c>
      <c r="E80" s="11">
        <v>0</v>
      </c>
      <c r="K80" s="11">
        <v>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5.75" customHeight="1">
      <c r="A81" s="15" t="s">
        <v>132</v>
      </c>
      <c r="B81" s="18" t="s">
        <v>68</v>
      </c>
      <c r="C81" s="18" t="s">
        <v>68</v>
      </c>
      <c r="D81" s="11">
        <v>1</v>
      </c>
      <c r="E81" s="11">
        <v>0</v>
      </c>
      <c r="K81" s="11">
        <v>0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.75" customHeight="1">
      <c r="A82" s="15" t="s">
        <v>133</v>
      </c>
      <c r="B82" s="18" t="s">
        <v>68</v>
      </c>
      <c r="C82" s="18" t="s">
        <v>68</v>
      </c>
      <c r="D82" s="11">
        <v>1</v>
      </c>
      <c r="E82" s="11">
        <v>0</v>
      </c>
      <c r="K82" s="11">
        <v>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.75" customHeight="1">
      <c r="A83" s="15" t="s">
        <v>134</v>
      </c>
      <c r="B83" s="18" t="s">
        <v>68</v>
      </c>
      <c r="C83" s="18" t="s">
        <v>68</v>
      </c>
      <c r="D83" s="11">
        <v>1</v>
      </c>
      <c r="E83" s="11">
        <v>0</v>
      </c>
      <c r="K83" s="11">
        <v>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5.75" customHeight="1">
      <c r="A84" s="15" t="s">
        <v>135</v>
      </c>
      <c r="B84" s="18" t="s">
        <v>68</v>
      </c>
      <c r="C84" s="18" t="s">
        <v>68</v>
      </c>
      <c r="D84" s="11">
        <v>1</v>
      </c>
      <c r="E84" s="11">
        <v>0</v>
      </c>
      <c r="K84" s="11">
        <v>0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5.75" customHeight="1">
      <c r="A85" s="15" t="s">
        <v>136</v>
      </c>
      <c r="B85" s="18" t="s">
        <v>68</v>
      </c>
      <c r="C85" s="18" t="s">
        <v>68</v>
      </c>
      <c r="D85" s="11">
        <v>1</v>
      </c>
      <c r="E85" s="11">
        <v>0</v>
      </c>
      <c r="K85" s="11">
        <v>0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5.75" customHeight="1">
      <c r="A86" s="15" t="s">
        <v>137</v>
      </c>
      <c r="B86" s="18" t="s">
        <v>68</v>
      </c>
      <c r="C86" s="18" t="s">
        <v>68</v>
      </c>
      <c r="D86" s="11">
        <v>1</v>
      </c>
      <c r="E86" s="11">
        <v>0</v>
      </c>
      <c r="K86" s="11">
        <v>0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5.75" customHeight="1">
      <c r="A87" s="15" t="s">
        <v>138</v>
      </c>
      <c r="B87" s="18" t="s">
        <v>68</v>
      </c>
      <c r="C87" s="18" t="s">
        <v>68</v>
      </c>
      <c r="D87" s="11">
        <v>1</v>
      </c>
      <c r="E87" s="11">
        <v>0</v>
      </c>
      <c r="K87" s="11">
        <v>0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5.75" customHeight="1">
      <c r="A88" s="15" t="s">
        <v>139</v>
      </c>
      <c r="B88" s="18" t="s">
        <v>68</v>
      </c>
      <c r="C88" s="18" t="s">
        <v>68</v>
      </c>
      <c r="D88" s="11">
        <v>1</v>
      </c>
      <c r="E88" s="11">
        <v>0</v>
      </c>
      <c r="K88" s="11">
        <v>0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customHeight="1">
      <c r="A89" s="15" t="s">
        <v>140</v>
      </c>
      <c r="B89" s="18" t="s">
        <v>68</v>
      </c>
      <c r="C89" s="18" t="s">
        <v>68</v>
      </c>
      <c r="D89" s="11">
        <v>1</v>
      </c>
      <c r="E89" s="11">
        <v>0</v>
      </c>
      <c r="K89" s="11">
        <v>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5.75" customHeight="1">
      <c r="A90" s="15" t="s">
        <v>141</v>
      </c>
      <c r="B90" s="18" t="s">
        <v>68</v>
      </c>
      <c r="C90" s="18" t="s">
        <v>68</v>
      </c>
      <c r="D90" s="11">
        <v>1</v>
      </c>
      <c r="E90" s="11">
        <v>0</v>
      </c>
      <c r="K90" s="11">
        <v>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5.75" customHeight="1">
      <c r="A91" s="15" t="s">
        <v>142</v>
      </c>
      <c r="B91" s="18" t="s">
        <v>68</v>
      </c>
      <c r="C91" s="18" t="s">
        <v>68</v>
      </c>
      <c r="D91" s="11">
        <v>1</v>
      </c>
      <c r="E91" s="11">
        <v>0</v>
      </c>
      <c r="K91" s="11">
        <v>0</v>
      </c>
      <c r="L91" s="20"/>
      <c r="M91" s="2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>
      <c r="A92" s="15" t="s">
        <v>143</v>
      </c>
      <c r="B92" s="18" t="s">
        <v>68</v>
      </c>
      <c r="C92" s="18" t="s">
        <v>68</v>
      </c>
      <c r="D92" s="11">
        <v>1</v>
      </c>
      <c r="E92" s="11">
        <v>0</v>
      </c>
      <c r="K92" s="11">
        <v>0</v>
      </c>
      <c r="L92" s="20"/>
      <c r="M92" s="2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>
      <c r="A93" s="15" t="s">
        <v>144</v>
      </c>
      <c r="B93" s="18" t="s">
        <v>68</v>
      </c>
      <c r="C93" s="18" t="s">
        <v>68</v>
      </c>
      <c r="D93" s="11">
        <v>1</v>
      </c>
      <c r="E93" s="11">
        <v>0</v>
      </c>
      <c r="K93" s="11">
        <v>0</v>
      </c>
      <c r="L93" s="20"/>
      <c r="M93" s="2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>
      <c r="A94" s="15" t="s">
        <v>145</v>
      </c>
      <c r="B94" s="18" t="s">
        <v>68</v>
      </c>
      <c r="C94" s="18" t="s">
        <v>68</v>
      </c>
      <c r="D94" s="11">
        <v>1</v>
      </c>
      <c r="E94" s="11">
        <v>0</v>
      </c>
      <c r="K94" s="11">
        <v>0</v>
      </c>
      <c r="L94" s="20"/>
      <c r="M94" s="2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>
      <c r="A95" s="15" t="s">
        <v>146</v>
      </c>
      <c r="B95" s="18" t="s">
        <v>68</v>
      </c>
      <c r="C95" s="18" t="s">
        <v>68</v>
      </c>
      <c r="D95" s="11">
        <v>1</v>
      </c>
      <c r="E95" s="11">
        <v>0</v>
      </c>
      <c r="K95" s="11">
        <v>0</v>
      </c>
      <c r="L95" s="20"/>
      <c r="M95" s="2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>
      <c r="A96" s="15" t="s">
        <v>147</v>
      </c>
      <c r="B96" s="18" t="s">
        <v>68</v>
      </c>
      <c r="C96" s="18" t="s">
        <v>68</v>
      </c>
      <c r="D96" s="11">
        <v>1</v>
      </c>
      <c r="E96" s="11">
        <v>0</v>
      </c>
      <c r="K96" s="11">
        <v>0</v>
      </c>
      <c r="L96" s="20"/>
      <c r="M96" s="2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>
      <c r="A97" s="15" t="s">
        <v>148</v>
      </c>
      <c r="B97" s="18" t="s">
        <v>68</v>
      </c>
      <c r="C97" s="18" t="s">
        <v>68</v>
      </c>
      <c r="D97" s="11">
        <v>1</v>
      </c>
      <c r="E97" s="11">
        <v>0</v>
      </c>
      <c r="K97" s="11">
        <v>0</v>
      </c>
      <c r="L97" s="20"/>
      <c r="M97" s="2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>
      <c r="A98" s="15" t="s">
        <v>149</v>
      </c>
      <c r="B98" s="18" t="s">
        <v>68</v>
      </c>
      <c r="C98" s="18" t="s">
        <v>68</v>
      </c>
      <c r="D98" s="11">
        <v>1</v>
      </c>
      <c r="E98" s="11">
        <v>0</v>
      </c>
      <c r="K98" s="11">
        <v>0</v>
      </c>
      <c r="L98" s="20"/>
      <c r="M98" s="2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>
      <c r="A99" s="15" t="s">
        <v>150</v>
      </c>
      <c r="B99" s="18" t="s">
        <v>68</v>
      </c>
      <c r="C99" s="18" t="s">
        <v>68</v>
      </c>
      <c r="D99" s="11">
        <v>1</v>
      </c>
      <c r="E99" s="11">
        <v>0</v>
      </c>
      <c r="K99" s="11">
        <v>0</v>
      </c>
      <c r="L99" s="20"/>
      <c r="M99" s="2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>
      <c r="A100" s="15" t="s">
        <v>151</v>
      </c>
      <c r="B100" s="18" t="s">
        <v>68</v>
      </c>
      <c r="C100" s="18" t="s">
        <v>68</v>
      </c>
      <c r="D100" s="11">
        <v>1</v>
      </c>
      <c r="E100" s="11">
        <v>0</v>
      </c>
      <c r="K100" s="11">
        <v>0</v>
      </c>
      <c r="L100" s="20"/>
      <c r="M100" s="2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>
      <c r="A101" s="15" t="s">
        <v>152</v>
      </c>
      <c r="B101" s="18" t="s">
        <v>68</v>
      </c>
      <c r="C101" s="18" t="s">
        <v>68</v>
      </c>
      <c r="D101" s="11">
        <v>1</v>
      </c>
      <c r="E101" s="11">
        <v>0</v>
      </c>
      <c r="K101" s="11">
        <v>0</v>
      </c>
      <c r="L101" s="20"/>
      <c r="M101" s="2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>
      <c r="A102" s="15" t="s">
        <v>97</v>
      </c>
      <c r="B102" s="18" t="s">
        <v>68</v>
      </c>
      <c r="C102" s="18" t="s">
        <v>68</v>
      </c>
      <c r="D102" s="11">
        <v>1</v>
      </c>
      <c r="E102" s="11">
        <v>0</v>
      </c>
      <c r="K102" s="11">
        <v>0</v>
      </c>
      <c r="L102" s="20"/>
      <c r="M102" s="2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>
      <c r="A103" s="16" t="s">
        <v>153</v>
      </c>
      <c r="B103" s="18" t="s">
        <v>68</v>
      </c>
      <c r="C103" s="18" t="s">
        <v>68</v>
      </c>
      <c r="D103" s="11">
        <v>1</v>
      </c>
      <c r="E103" s="11">
        <v>0</v>
      </c>
      <c r="K103" s="11">
        <v>0</v>
      </c>
      <c r="L103" s="20"/>
      <c r="M103" s="2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24" customHeight="1">
      <c r="A104" s="16" t="s">
        <v>154</v>
      </c>
      <c r="B104" s="18" t="s">
        <v>68</v>
      </c>
      <c r="C104" s="18" t="s">
        <v>68</v>
      </c>
      <c r="D104" s="11">
        <v>1</v>
      </c>
      <c r="E104" s="11">
        <v>0</v>
      </c>
      <c r="K104" s="11">
        <v>0</v>
      </c>
      <c r="L104" s="20"/>
      <c r="M104" s="2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26" customHeight="1">
      <c r="A105" s="16" t="s">
        <v>155</v>
      </c>
      <c r="B105" s="18" t="s">
        <v>41</v>
      </c>
      <c r="C105" s="18" t="s">
        <v>41</v>
      </c>
      <c r="D105" s="11">
        <v>1</v>
      </c>
      <c r="E105" s="11">
        <v>1</v>
      </c>
      <c r="K105" s="11">
        <v>1</v>
      </c>
      <c r="L105" s="20"/>
      <c r="M105" s="2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>
      <c r="A106" s="16" t="s">
        <v>165</v>
      </c>
      <c r="B106" s="18" t="s">
        <v>41</v>
      </c>
      <c r="C106" s="18" t="s">
        <v>68</v>
      </c>
      <c r="D106" s="11">
        <v>1</v>
      </c>
      <c r="E106" s="11">
        <v>1</v>
      </c>
      <c r="K106" s="11">
        <v>0</v>
      </c>
      <c r="L106" s="20"/>
      <c r="M106" s="2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29" customHeight="1">
      <c r="A107" s="16" t="s">
        <v>166</v>
      </c>
      <c r="B107" s="18" t="s">
        <v>68</v>
      </c>
      <c r="C107" s="18" t="s">
        <v>68</v>
      </c>
      <c r="D107" s="11">
        <v>1</v>
      </c>
      <c r="E107" s="11">
        <v>0</v>
      </c>
      <c r="K107" s="11">
        <v>0</v>
      </c>
      <c r="L107" s="20"/>
      <c r="M107" s="2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>
      <c r="A108" s="16" t="s">
        <v>167</v>
      </c>
      <c r="B108" s="18" t="s">
        <v>68</v>
      </c>
      <c r="C108" s="18" t="s">
        <v>68</v>
      </c>
      <c r="D108" s="11">
        <v>1</v>
      </c>
      <c r="E108" s="11">
        <v>0</v>
      </c>
      <c r="K108" s="11">
        <v>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>
      <c r="A109" s="16" t="s">
        <v>169</v>
      </c>
      <c r="B109" s="18" t="s">
        <v>41</v>
      </c>
      <c r="C109" s="18" t="s">
        <v>68</v>
      </c>
      <c r="D109" s="11">
        <v>1</v>
      </c>
      <c r="E109" s="11">
        <v>1</v>
      </c>
      <c r="K109" s="11">
        <v>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>
      <c r="A110" s="16" t="s">
        <v>170</v>
      </c>
      <c r="B110" s="18" t="s">
        <v>41</v>
      </c>
      <c r="C110" s="18" t="s">
        <v>68</v>
      </c>
      <c r="D110" s="11">
        <v>1</v>
      </c>
      <c r="K110" s="11">
        <v>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>
      <c r="A111" s="6" t="s">
        <v>171</v>
      </c>
      <c r="B111" s="18" t="s">
        <v>41</v>
      </c>
      <c r="C111" s="18" t="s">
        <v>68</v>
      </c>
      <c r="D111" s="11">
        <v>1</v>
      </c>
      <c r="E111" s="11">
        <v>1</v>
      </c>
      <c r="K111" s="11">
        <v>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29" customHeight="1">
      <c r="A112" s="16" t="s">
        <v>172</v>
      </c>
      <c r="B112" s="18" t="s">
        <v>41</v>
      </c>
      <c r="C112" s="18" t="s">
        <v>68</v>
      </c>
      <c r="D112" s="11">
        <v>1</v>
      </c>
      <c r="E112" s="11">
        <v>1</v>
      </c>
      <c r="K112" s="11">
        <v>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42">
      <c r="A113" s="16" t="s">
        <v>173</v>
      </c>
      <c r="B113" s="18" t="s">
        <v>41</v>
      </c>
      <c r="C113" s="18" t="s">
        <v>68</v>
      </c>
      <c r="D113" s="11">
        <v>1</v>
      </c>
      <c r="E113" s="11">
        <v>1</v>
      </c>
      <c r="K113" s="11">
        <v>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28">
      <c r="A114" s="16" t="s">
        <v>174</v>
      </c>
      <c r="B114" s="18" t="s">
        <v>41</v>
      </c>
      <c r="C114" s="18" t="s">
        <v>68</v>
      </c>
      <c r="D114" s="11">
        <v>1</v>
      </c>
      <c r="E114" s="11">
        <v>1</v>
      </c>
      <c r="K114" s="11">
        <v>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28">
      <c r="A115" s="16" t="s">
        <v>175</v>
      </c>
      <c r="B115" s="18" t="s">
        <v>41</v>
      </c>
      <c r="C115" s="18" t="s">
        <v>68</v>
      </c>
      <c r="D115" s="11">
        <v>1</v>
      </c>
      <c r="E115" s="11">
        <v>1</v>
      </c>
      <c r="K115" s="11">
        <v>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42">
      <c r="A116" s="16" t="s">
        <v>176</v>
      </c>
      <c r="B116" s="18" t="s">
        <v>68</v>
      </c>
      <c r="C116" s="18" t="s">
        <v>68</v>
      </c>
      <c r="D116" s="11">
        <v>1</v>
      </c>
      <c r="E116" s="11">
        <v>0</v>
      </c>
      <c r="K116" s="1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28">
      <c r="A117" s="16" t="s">
        <v>177</v>
      </c>
      <c r="B117" s="18" t="s">
        <v>68</v>
      </c>
      <c r="C117" s="18" t="s">
        <v>68</v>
      </c>
      <c r="D117" s="11">
        <v>1</v>
      </c>
      <c r="E117" s="11">
        <v>0</v>
      </c>
      <c r="K117" s="11">
        <v>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28">
      <c r="A118" s="16" t="s">
        <v>178</v>
      </c>
      <c r="B118" s="18" t="s">
        <v>68</v>
      </c>
      <c r="C118" s="18" t="s">
        <v>68</v>
      </c>
      <c r="D118" s="11">
        <v>1</v>
      </c>
      <c r="E118" s="11">
        <v>0</v>
      </c>
      <c r="K118" s="11">
        <v>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>
      <c r="A119" s="16" t="s">
        <v>179</v>
      </c>
      <c r="B119" s="18" t="s">
        <v>41</v>
      </c>
      <c r="C119" s="18" t="s">
        <v>68</v>
      </c>
      <c r="D119" s="11">
        <v>1</v>
      </c>
      <c r="E119" s="11">
        <v>1</v>
      </c>
      <c r="K119" s="11">
        <v>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>
      <c r="A120" s="16" t="s">
        <v>180</v>
      </c>
      <c r="B120" s="18" t="s">
        <v>41</v>
      </c>
      <c r="C120" s="18" t="s">
        <v>68</v>
      </c>
      <c r="D120" s="11">
        <v>1</v>
      </c>
      <c r="E120" s="11">
        <v>1</v>
      </c>
      <c r="K120" s="11">
        <v>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>
      <c r="A121" s="1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>
      <c r="A122" s="16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>
      <c r="A123" s="16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>
      <c r="A124" s="16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>
      <c r="A125" s="16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>
      <c r="A126" s="16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>
      <c r="A127" s="16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7:25" ht="15.75" customHeight="1"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7:25" ht="15.75" customHeight="1"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7:25" ht="15.75" customHeight="1"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7:25" ht="15.75" customHeight="1"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7:25" ht="15.75" customHeight="1"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7:25" ht="15.75" customHeight="1"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7:25" ht="15.75" customHeight="1"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7:25" ht="15.75" customHeight="1"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7:25" ht="15.75" customHeight="1"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7:25" ht="15.75" customHeight="1"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7:25" ht="15.75" customHeight="1"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7:25" ht="15.75" customHeight="1"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7:25" ht="15.75" customHeight="1"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7:25" ht="15.75" customHeight="1"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7:25" ht="15.75" customHeight="1"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7:25" ht="15.75" customHeight="1"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7:25" ht="15.75" customHeight="1"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7:25" ht="15.75" customHeight="1"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7:25" ht="15.75" customHeight="1"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7:25" ht="15.75" customHeight="1"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7:25" ht="15.75" customHeight="1"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7:25" ht="15.75" customHeight="1"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7:25" ht="15.75" customHeight="1"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7:25" ht="15.75" customHeight="1"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7:25" ht="15.75" customHeight="1"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7:25" ht="15.75" customHeight="1"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7:25" ht="15.75" customHeight="1"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7:25" ht="15.75" customHeight="1"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7:25" ht="15.75" customHeight="1"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7:25" ht="15.75" customHeight="1"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7:25" ht="15.75" customHeight="1"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7:25" ht="15.75" customHeight="1"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7:25" ht="15.75" customHeight="1"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7:25" ht="15.75" customHeight="1"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7:25" ht="15.75" customHeight="1"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7:25" ht="15.75" customHeight="1"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7:25" ht="15.75" customHeight="1"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7:25" ht="15.75" customHeight="1"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7:25" ht="15.75" customHeight="1"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7:25" ht="15.75" customHeight="1"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7:25" ht="15.75" customHeight="1"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7:25" ht="15.75" customHeight="1"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7:25" ht="15.75" customHeight="1"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7:25" ht="15.75" customHeight="1"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7:25" ht="15.75" customHeight="1"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7:25" ht="15.75" customHeight="1"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7:25" ht="15.75" customHeight="1"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7:25" ht="15.75" customHeight="1"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7:25" ht="15.75" customHeight="1"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7:25" ht="15.75" customHeight="1"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7:25" ht="15.75" customHeight="1"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7:25" ht="15.75" customHeight="1"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7:25" ht="15.75" customHeight="1"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7:25" ht="15.75" customHeight="1"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7:25" ht="15.75" customHeight="1"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7:25" ht="15.75" customHeight="1"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7:25" ht="15.75" customHeight="1"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7:25" ht="15.75" customHeight="1"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7:25" ht="15.75" customHeight="1"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7:25" ht="15.75" customHeight="1"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7:25" ht="15.75" customHeight="1"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7:25" ht="15.75" customHeight="1"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7:25" ht="15.75" customHeight="1"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7:25" ht="15.75" customHeight="1"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7:25" ht="15.75" customHeight="1"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7:25" ht="15.75" customHeight="1"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7:25" ht="15.75" customHeight="1"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7:25" ht="15.75" customHeight="1"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7:25" ht="15.75" customHeight="1"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7:25" ht="15.75" customHeight="1"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7:25" ht="15.75" customHeight="1"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7:25" ht="15.75" customHeight="1"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7:25" ht="15.75" customHeight="1"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7:25" ht="15.75" customHeight="1"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7:25" ht="15.75" customHeight="1"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7:25" ht="15.75" customHeight="1"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7:25" ht="15.75" customHeight="1"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7:25" ht="15.75" customHeight="1"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7:25" ht="15.75" customHeight="1"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7:25" ht="15.75" customHeight="1">
      <c r="G208" s="11"/>
      <c r="H208" s="11"/>
      <c r="I208" s="11"/>
      <c r="J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7:25" ht="15.75" customHeight="1">
      <c r="G209" s="11"/>
      <c r="H209" s="11"/>
      <c r="I209" s="11"/>
      <c r="J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7:25" ht="15.75" customHeight="1">
      <c r="G210" s="11"/>
      <c r="H210" s="11"/>
      <c r="I210" s="11"/>
      <c r="J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7:25" ht="15.75" customHeight="1">
      <c r="G211" s="11"/>
      <c r="H211" s="11"/>
      <c r="I211" s="11"/>
      <c r="J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7:25" ht="15.75" customHeight="1">
      <c r="G212" s="11"/>
      <c r="H212" s="11"/>
      <c r="I212" s="11"/>
      <c r="J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7:25" ht="15.75" customHeight="1">
      <c r="G213" s="11"/>
      <c r="H213" s="11"/>
      <c r="I213" s="11"/>
      <c r="J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7:25" ht="15.75" customHeight="1">
      <c r="G214" s="11"/>
      <c r="H214" s="11"/>
      <c r="I214" s="11"/>
      <c r="J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7:25" ht="15.75" customHeight="1">
      <c r="G215" s="11"/>
      <c r="H215" s="11"/>
      <c r="I215" s="11"/>
      <c r="J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7:25" ht="15.75" customHeight="1">
      <c r="G216" s="11"/>
      <c r="H216" s="11"/>
      <c r="I216" s="11"/>
      <c r="J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7:25" ht="15.75" customHeight="1">
      <c r="G217" s="11"/>
      <c r="H217" s="11"/>
      <c r="I217" s="11"/>
      <c r="J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7:25" ht="15.75" customHeight="1">
      <c r="G218" s="11"/>
      <c r="H218" s="11"/>
      <c r="I218" s="11"/>
      <c r="J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7:25" ht="15.75" customHeight="1">
      <c r="G219" s="11"/>
      <c r="H219" s="11"/>
      <c r="I219" s="11"/>
      <c r="J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7:25" ht="15.75" customHeight="1">
      <c r="G220" s="11"/>
      <c r="H220" s="11"/>
      <c r="I220" s="11"/>
      <c r="J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7:25" ht="15.75" customHeight="1">
      <c r="G221" s="11"/>
      <c r="H221" s="11"/>
      <c r="I221" s="11"/>
      <c r="J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7:25" ht="15.75" customHeight="1">
      <c r="G222" s="11"/>
      <c r="H222" s="11"/>
      <c r="I222" s="11"/>
      <c r="J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7:25" ht="15.75" customHeight="1">
      <c r="G223" s="11"/>
      <c r="H223" s="11"/>
      <c r="I223" s="11"/>
      <c r="J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7:25" ht="15.75" customHeight="1">
      <c r="G224" s="11"/>
      <c r="H224" s="11"/>
      <c r="I224" s="11"/>
      <c r="J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7:25" ht="15.75" customHeight="1">
      <c r="G225" s="11"/>
      <c r="H225" s="11"/>
      <c r="I225" s="11"/>
      <c r="J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7:25" ht="15.75" customHeight="1">
      <c r="G226" s="11"/>
      <c r="H226" s="11"/>
      <c r="I226" s="11"/>
      <c r="J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7:25" ht="15.75" customHeight="1">
      <c r="G227" s="11"/>
      <c r="H227" s="11"/>
      <c r="I227" s="11"/>
      <c r="J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7:25" ht="15.75" customHeight="1">
      <c r="G228" s="11"/>
      <c r="H228" s="11"/>
      <c r="I228" s="11"/>
      <c r="J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7:25" ht="15.75" customHeight="1">
      <c r="G229" s="11"/>
      <c r="H229" s="11"/>
      <c r="I229" s="11"/>
      <c r="J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7:25" ht="15.75" customHeight="1">
      <c r="G230" s="11"/>
      <c r="H230" s="11"/>
      <c r="I230" s="11"/>
      <c r="J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7:25" ht="15.75" customHeight="1">
      <c r="G231" s="11"/>
      <c r="H231" s="11"/>
      <c r="I231" s="11"/>
      <c r="J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7:25" ht="15.75" customHeight="1">
      <c r="G232" s="11"/>
      <c r="H232" s="11"/>
      <c r="I232" s="11"/>
      <c r="J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7:25" ht="15.75" customHeight="1">
      <c r="G233" s="11"/>
      <c r="H233" s="11"/>
      <c r="I233" s="11"/>
      <c r="J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7:25" ht="15.75" customHeight="1">
      <c r="G234" s="11"/>
      <c r="H234" s="11"/>
      <c r="I234" s="11"/>
      <c r="J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7:25" ht="15.75" customHeight="1">
      <c r="G235" s="11"/>
      <c r="H235" s="11"/>
      <c r="I235" s="11"/>
      <c r="J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7:25" ht="15.75" customHeight="1">
      <c r="G236" s="11"/>
      <c r="H236" s="11"/>
      <c r="I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7:25" ht="15.75" customHeight="1">
      <c r="G237" s="11"/>
      <c r="H237" s="11"/>
      <c r="I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7:25" ht="15.75" customHeight="1">
      <c r="G238" s="11"/>
      <c r="H238" s="11"/>
      <c r="I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7:25" ht="15.75" customHeight="1">
      <c r="G239" s="11"/>
      <c r="H239" s="11"/>
      <c r="I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7:25" ht="15.75" customHeight="1">
      <c r="G240" s="11"/>
      <c r="H240" s="11"/>
      <c r="I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7:25" ht="15.75" customHeight="1">
      <c r="G241" s="11"/>
      <c r="H241" s="11"/>
      <c r="I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7:25" ht="15.75" customHeight="1">
      <c r="G242" s="11"/>
      <c r="H242" s="11"/>
      <c r="I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7:25" ht="15.75" customHeight="1">
      <c r="G243" s="11"/>
      <c r="H243" s="11"/>
      <c r="I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7:25" ht="15.75" customHeight="1">
      <c r="G244" s="11"/>
      <c r="H244" s="11"/>
      <c r="I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7:25" ht="15.75" customHeight="1">
      <c r="G245" s="11"/>
      <c r="H245" s="11"/>
      <c r="I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7:25" ht="15.75" customHeight="1">
      <c r="G246" s="11"/>
      <c r="H246" s="11"/>
      <c r="I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7:25" ht="15.75" customHeight="1">
      <c r="G247" s="11"/>
      <c r="H247" s="11"/>
      <c r="I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7:25" ht="15.75" customHeight="1">
      <c r="G248" s="11"/>
      <c r="H248" s="11"/>
      <c r="I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7:25" ht="15.75" customHeight="1">
      <c r="G249" s="11"/>
      <c r="H249" s="11"/>
      <c r="I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7:25" ht="15.75" customHeight="1">
      <c r="G250" s="11"/>
      <c r="H250" s="11"/>
      <c r="I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7:25" ht="15.75" customHeight="1">
      <c r="G251" s="11"/>
      <c r="H251" s="11"/>
      <c r="I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Пример информации о проекте</vt:lpstr>
      <vt:lpstr>Информация о проекте</vt:lpstr>
      <vt:lpstr>Тестовое покрытие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a905</cp:lastModifiedBy>
  <dcterms:created xsi:type="dcterms:W3CDTF">2025-08-17T07:14:07Z</dcterms:created>
  <dcterms:modified xsi:type="dcterms:W3CDTF">2025-08-19T12:01:01Z</dcterms:modified>
</cp:coreProperties>
</file>